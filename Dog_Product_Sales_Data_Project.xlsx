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Cleaned_Data" sheetId="2" r:id="rId6"/>
    <sheet state="visible" name="Charts" sheetId="3" r:id="rId7"/>
    <sheet state="visible" name="README" sheetId="4" r:id="rId8"/>
  </sheets>
  <definedNames/>
  <calcPr/>
  <pivotCaches>
    <pivotCache cacheId="0" r:id="rId9"/>
  </pivotCaches>
</workbook>
</file>

<file path=xl/sharedStrings.xml><?xml version="1.0" encoding="utf-8"?>
<sst xmlns="http://schemas.openxmlformats.org/spreadsheetml/2006/main" count="250" uniqueCount="151">
  <si>
    <t>This dataset contains raw customer data with intentional inconsistencies for data cleaning practice.</t>
  </si>
  <si>
    <t>Product Name</t>
  </si>
  <si>
    <t>Category</t>
  </si>
  <si>
    <t>Price</t>
  </si>
  <si>
    <t>Quantity</t>
  </si>
  <si>
    <t>Supplier</t>
  </si>
  <si>
    <t>Date Ordered</t>
  </si>
  <si>
    <t>Doggie Chew Bone</t>
  </si>
  <si>
    <t>chew toys</t>
  </si>
  <si>
    <t>HappyPaws</t>
  </si>
  <si>
    <t>puppy leash</t>
  </si>
  <si>
    <t>leash</t>
  </si>
  <si>
    <t>DogWorld</t>
  </si>
  <si>
    <t>dog food bag</t>
  </si>
  <si>
    <t>food</t>
  </si>
  <si>
    <t>PetCo</t>
  </si>
  <si>
    <t>Dog Collar Large</t>
  </si>
  <si>
    <t>collar</t>
  </si>
  <si>
    <t>Paws n Claws</t>
  </si>
  <si>
    <t>dog toy squeaky</t>
  </si>
  <si>
    <t>toy</t>
  </si>
  <si>
    <t>DoggieMart</t>
  </si>
  <si>
    <t>puppy Treats</t>
  </si>
  <si>
    <t>treats</t>
  </si>
  <si>
    <t>FurEver</t>
  </si>
  <si>
    <t>Dog Shampoo</t>
  </si>
  <si>
    <t>shampoo</t>
  </si>
  <si>
    <t>PuppySupply</t>
  </si>
  <si>
    <t>chew TOY</t>
  </si>
  <si>
    <t>PetHub</t>
  </si>
  <si>
    <t>dog harness</t>
  </si>
  <si>
    <t>harness</t>
  </si>
  <si>
    <t>BarkShop</t>
  </si>
  <si>
    <t>dog bed soft</t>
  </si>
  <si>
    <t>bed</t>
  </si>
  <si>
    <t>CanineCorner</t>
  </si>
  <si>
    <t>dog toothpaste</t>
  </si>
  <si>
    <t>toothpaste</t>
  </si>
  <si>
    <t>PupStore</t>
  </si>
  <si>
    <t>bone toy</t>
  </si>
  <si>
    <t>puppy blanket</t>
  </si>
  <si>
    <t>blanket</t>
  </si>
  <si>
    <t>Dog Jacket</t>
  </si>
  <si>
    <t>jacket</t>
  </si>
  <si>
    <t>Squeaky ball</t>
  </si>
  <si>
    <t>Dog Food Mini</t>
  </si>
  <si>
    <t>dog training clicker</t>
  </si>
  <si>
    <t>training</t>
  </si>
  <si>
    <t>chew treat</t>
  </si>
  <si>
    <t>dog carrier small</t>
  </si>
  <si>
    <t>carrier</t>
  </si>
  <si>
    <t>puppy pad</t>
  </si>
  <si>
    <t>pads</t>
  </si>
  <si>
    <t>dog grooming brush</t>
  </si>
  <si>
    <t>grooming</t>
  </si>
  <si>
    <t>Dog Bowl Stainless</t>
  </si>
  <si>
    <t>bowl</t>
  </si>
  <si>
    <t>Dog Treat Jar</t>
  </si>
  <si>
    <t>puppy chew rope</t>
  </si>
  <si>
    <t>chew</t>
  </si>
  <si>
    <t>dog leash retractable</t>
  </si>
  <si>
    <t>dog sweater</t>
  </si>
  <si>
    <t>sweater</t>
  </si>
  <si>
    <t>dog hat</t>
  </si>
  <si>
    <t>hat</t>
  </si>
  <si>
    <t>Dog Blanket</t>
  </si>
  <si>
    <t>Dog Snack Bar</t>
  </si>
  <si>
    <t>snacks</t>
  </si>
  <si>
    <t>dog water bottle</t>
  </si>
  <si>
    <t>water bottle</t>
  </si>
  <si>
    <t>puppy chew stick</t>
  </si>
  <si>
    <t>Dog Bowl Large</t>
  </si>
  <si>
    <t>dog nail clippers</t>
  </si>
  <si>
    <t>clippers</t>
  </si>
  <si>
    <t>puppy toy ball</t>
  </si>
  <si>
    <t>dog harness adjustable</t>
  </si>
  <si>
    <t>Dog Jacket XL</t>
  </si>
  <si>
    <t>dog raincoat</t>
  </si>
  <si>
    <t>raincoat</t>
  </si>
  <si>
    <t>Dog Bed King</t>
  </si>
  <si>
    <t>puppy chew ring</t>
  </si>
  <si>
    <t>dog treat box</t>
  </si>
  <si>
    <t>Dog Collar Small</t>
  </si>
  <si>
    <t>This dataset contains cleaned and standardized customer order data with documented data quality fixes.</t>
  </si>
  <si>
    <t>Category (Standardized)</t>
  </si>
  <si>
    <t>Price Range</t>
  </si>
  <si>
    <t>Quantity Range</t>
  </si>
  <si>
    <t>Cleaning Action Taken</t>
  </si>
  <si>
    <t>Capitalization corrected; price formatted</t>
  </si>
  <si>
    <t>N/A</t>
  </si>
  <si>
    <t>Capitalization corrected; marked missing price as N/A</t>
  </si>
  <si>
    <t>This chart shows the number of products in each category, helping identify which product types are most common in the dataset.</t>
  </si>
  <si>
    <t>COUNTA of Product Name</t>
  </si>
  <si>
    <t>Accessories</t>
  </si>
  <si>
    <t>Bowl</t>
  </si>
  <si>
    <t>Comfort</t>
  </si>
  <si>
    <t>Food</t>
  </si>
  <si>
    <t>Grooming</t>
  </si>
  <si>
    <t>Pads</t>
  </si>
  <si>
    <t>Toys</t>
  </si>
  <si>
    <t>Training</t>
  </si>
  <si>
    <t>Treats</t>
  </si>
  <si>
    <t>Walking</t>
  </si>
  <si>
    <t>Water Bottle</t>
  </si>
  <si>
    <t>Grand Total</t>
  </si>
  <si>
    <t>This chart groups products by quantity ranges to show how order sizes are different across the dataset.</t>
  </si>
  <si>
    <t>1-5</t>
  </si>
  <si>
    <t>11-15</t>
  </si>
  <si>
    <t>16+</t>
  </si>
  <si>
    <t>6-10</t>
  </si>
  <si>
    <t>This chart displays the distribution of products across price ranges to highlight the most common pricing levels.</t>
  </si>
  <si>
    <t>0-10</t>
  </si>
  <si>
    <t>10-20</t>
  </si>
  <si>
    <t>20-30</t>
  </si>
  <si>
    <t>30+</t>
  </si>
  <si>
    <t>Dog Product Sales Data Project</t>
  </si>
  <si>
    <t>Project Overview</t>
  </si>
  <si>
    <t>This project analyzes dog product data in Google Sheets. The goal was to clean and standardize the dataset, then identify patterns in product categories, quantities, and pricing using pivot tables and charts.</t>
  </si>
  <si>
    <t>Dataset</t>
  </si>
  <si>
    <t>The dataset includes:</t>
  </si>
  <si>
    <t>- Product Name</t>
  </si>
  <si>
    <t>- Category</t>
  </si>
  <si>
    <t>- Price</t>
  </si>
  <si>
    <t>- Quantity</t>
  </si>
  <si>
    <t>- Supplier</t>
  </si>
  <si>
    <t>- Date Ordered</t>
  </si>
  <si>
    <t>The raw data contained inconsistencies in capitalization, formatting, and pricing.</t>
  </si>
  <si>
    <t>Data Cleaning</t>
  </si>
  <si>
    <t>- Standardized capitalization across text fields</t>
  </si>
  <si>
    <t>- Formatted prices to currency with two decimal places</t>
  </si>
  <si>
    <t>- Handled one missing price by marking it as N/A</t>
  </si>
  <si>
    <t>- Improved overall consistency for analysis</t>
  </si>
  <si>
    <t>Data Transformation</t>
  </si>
  <si>
    <t>- Created Price Range (0–10, 10–20, 20–30, 30+)</t>
  </si>
  <si>
    <t>- Created Quantity Range (1–5, 6–10, 11–15, 16+)</t>
  </si>
  <si>
    <t>- Standardized categories (e.g., Toy/Chew → Toys)</t>
  </si>
  <si>
    <t>Analysis</t>
  </si>
  <si>
    <t>- Product Count by Category – identifies the most common product types</t>
  </si>
  <si>
    <t>- Quantity Distribution – shows how order sizes are distributed</t>
  </si>
  <si>
    <t>- Price Distribution – highlights common price ranges</t>
  </si>
  <si>
    <t>Key Insights</t>
  </si>
  <si>
    <t>- Toys is the most common category</t>
  </si>
  <si>
    <t>- Most quantities fall between 1–10 units</t>
  </si>
  <si>
    <t>- Most products are priced in the 0–10 range</t>
  </si>
  <si>
    <t>Tools Used</t>
  </si>
  <si>
    <t>- Google Sheets</t>
  </si>
  <si>
    <t>- Pivot Tables</t>
  </si>
  <si>
    <t>- IF formulas</t>
  </si>
  <si>
    <t>- Charts</t>
  </si>
  <si>
    <t>Conclusion</t>
  </si>
  <si>
    <t>This project demonstrates data entry, data cleaning, and basic analysis to organize raw data and identify patterns in a structured and meaningful way.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</si>
</sst>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quot;$&quot;#,##0.00"/>
  </numFmts>
  <fonts count="9">
    <font>
      <sz val="10.0"/>
      <color rgb="FF000000"/>
      <name val="Arial"/>
      <scheme val="minor"/>
    </font>
    <font>
      <sz val="12.0"/>
      <color theme="1"/>
      <name val="Arial"/>
      <scheme val="minor"/>
    </font>
    <font>
      <b/>
      <color theme="1"/>
      <name val="Arial"/>
    </font>
    <font>
      <b/>
      <color theme="1"/>
      <name val="Arial"/>
      <scheme val="minor"/>
    </font>
    <font>
      <color theme="1"/>
      <name val="Arial"/>
      <scheme val="minor"/>
    </font>
    <font>
      <sz val="12.0"/>
      <color theme="1"/>
      <name val="Arial"/>
    </font>
    <font>
      <color theme="1"/>
      <name val="Arial"/>
    </font>
    <font>
      <b/>
      <sz val="14.0"/>
      <color theme="1"/>
      <name val="Arial"/>
      <scheme val="minor"/>
    </font>
    <font>
      <b/>
      <sz val="12.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center" readingOrder="0"/>
    </xf>
    <xf borderId="0" fillId="0" fontId="3" numFmtId="0" xfId="0" applyAlignment="1" applyFont="1">
      <alignment horizontal="center" readingOrder="0"/>
    </xf>
    <xf borderId="0" fillId="0" fontId="2" numFmtId="0" xfId="0" applyAlignment="1" applyFont="1">
      <alignment horizontal="center" readingOrder="0" shrinkToFit="0" vertical="center" wrapText="0"/>
    </xf>
    <xf borderId="1" fillId="0" fontId="4" numFmtId="0" xfId="0" applyAlignment="1" applyBorder="1" applyFont="1">
      <alignment readingOrder="0" shrinkToFit="0" vertical="center" wrapText="0"/>
    </xf>
    <xf borderId="1" fillId="0" fontId="4" numFmtId="164" xfId="0" applyAlignment="1" applyBorder="1" applyFont="1" applyNumberFormat="1">
      <alignment readingOrder="0" shrinkToFit="0" vertical="center" wrapText="0"/>
    </xf>
    <xf borderId="0" fillId="0" fontId="4" numFmtId="0" xfId="0" applyFont="1"/>
    <xf borderId="1" fillId="0" fontId="3" numFmtId="0" xfId="0" applyAlignment="1" applyBorder="1" applyFont="1">
      <alignment readingOrder="0" shrinkToFit="0" vertical="center" wrapText="0"/>
    </xf>
    <xf borderId="1" fillId="0" fontId="4" numFmtId="0" xfId="0" applyAlignment="1" applyBorder="1" applyFont="1">
      <alignment shrinkToFit="0" vertical="center" wrapText="0"/>
    </xf>
    <xf borderId="0" fillId="0" fontId="4" numFmtId="0" xfId="0" applyAlignment="1" applyFont="1">
      <alignment horizontal="left"/>
    </xf>
    <xf borderId="0" fillId="0" fontId="5" numFmtId="0" xfId="0" applyAlignment="1" applyFont="1">
      <alignment horizontal="left" readingOrder="0" vertical="bottom"/>
    </xf>
    <xf borderId="0" fillId="0" fontId="2" numFmtId="0" xfId="0" applyAlignment="1" applyFont="1">
      <alignment horizontal="center" readingOrder="0" vertical="bottom"/>
    </xf>
    <xf borderId="0" fillId="0" fontId="2" numFmtId="0" xfId="0" applyAlignment="1" applyFont="1">
      <alignment horizontal="center" readingOrder="0" vertical="bottom"/>
    </xf>
    <xf borderId="0" fillId="0" fontId="6" numFmtId="0" xfId="0" applyFont="1"/>
    <xf borderId="0" fillId="0" fontId="2" numFmtId="0" xfId="0" applyAlignment="1" applyFont="1">
      <alignment horizontal="center" readingOrder="0" shrinkToFit="0" vertical="bottom" wrapText="0"/>
    </xf>
    <xf borderId="0" fillId="0" fontId="2" numFmtId="0" xfId="0" applyAlignment="1" applyFont="1">
      <alignment horizontal="center" readingOrder="0" shrinkToFit="0" vertical="bottom" wrapText="0"/>
    </xf>
    <xf borderId="1" fillId="0" fontId="6" numFmtId="0" xfId="0" applyAlignment="1" applyBorder="1" applyFont="1">
      <alignment shrinkToFit="0" vertical="bottom" wrapText="0"/>
    </xf>
    <xf borderId="1" fillId="0" fontId="6" numFmtId="0" xfId="0" applyAlignment="1" applyBorder="1" applyFont="1">
      <alignment shrinkToFit="0" vertical="center" wrapText="0"/>
    </xf>
    <xf borderId="1" fillId="0" fontId="6" numFmtId="165" xfId="0" applyAlignment="1" applyBorder="1" applyFont="1" applyNumberFormat="1">
      <alignment shrinkToFit="0" vertical="center" wrapText="0"/>
    </xf>
    <xf borderId="1" fillId="0" fontId="6" numFmtId="164" xfId="0" applyAlignment="1" applyBorder="1" applyFont="1" applyNumberFormat="1">
      <alignment shrinkToFit="0" vertical="center" wrapText="0"/>
    </xf>
    <xf borderId="1" fillId="0" fontId="6" numFmtId="0" xfId="0" applyAlignment="1" applyBorder="1" applyFont="1">
      <alignment readingOrder="0" shrinkToFit="0" vertical="bottom" wrapText="0"/>
    </xf>
    <xf borderId="1" fillId="0" fontId="6" numFmtId="0" xfId="0" applyAlignment="1" applyBorder="1" applyFont="1">
      <alignment horizontal="right" readingOrder="0" shrinkToFit="0" vertical="center" wrapText="0"/>
    </xf>
    <xf borderId="0" fillId="0" fontId="1" numFmtId="0" xfId="0" applyAlignment="1" applyFont="1">
      <alignment readingOrder="0"/>
    </xf>
    <xf borderId="0" fillId="0" fontId="4" numFmtId="0" xfId="0" applyFont="1"/>
    <xf borderId="0" fillId="0" fontId="4" numFmtId="165" xfId="0" applyFont="1" applyNumberFormat="1"/>
    <xf borderId="0" fillId="0" fontId="4"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Raw_Data-style">
      <tableStyleElement dxfId="1" type="headerRow"/>
      <tableStyleElement dxfId="2" type="firstRowStripe"/>
      <tableStyleElement dxfId="3" type="secondRowStripe"/>
      <tableStyleElement dxfId="4" size="0" type="wholeTable"/>
    </tableStyle>
    <tableStyle count="4" pivot="0" name="Cleaned_Data-style">
      <tableStyleElement dxfId="1" type="headerRow"/>
      <tableStyleElement dxfId="2"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757575"/>
                </a:solidFill>
                <a:latin typeface="+mn-lt"/>
              </a:defRPr>
            </a:pPr>
            <a:r>
              <a:rPr b="1" sz="2000">
                <a:solidFill>
                  <a:srgbClr val="757575"/>
                </a:solidFill>
                <a:latin typeface="+mn-lt"/>
              </a:rPr>
              <a:t>Product Count by Category</a:t>
            </a:r>
          </a:p>
        </c:rich>
      </c:tx>
      <c:overlay val="0"/>
    </c:title>
    <c:plotArea>
      <c:layout/>
      <c:barChart>
        <c:barDir val="col"/>
        <c:ser>
          <c:idx val="0"/>
          <c:order val="0"/>
          <c:tx>
            <c:strRef>
              <c:f>Charts!$I$2</c:f>
            </c:strRef>
          </c:tx>
          <c:spPr>
            <a:solidFill>
              <a:schemeClr val="accent1"/>
            </a:solidFill>
            <a:ln cmpd="sng">
              <a:solidFill>
                <a:srgbClr val="000000"/>
              </a:solidFill>
            </a:ln>
          </c:spPr>
          <c:cat>
            <c:strRef>
              <c:f>Charts!$H$3:$H$13</c:f>
            </c:strRef>
          </c:cat>
          <c:val>
            <c:numRef>
              <c:f>Charts!$I$3:$I$13</c:f>
              <c:numCache/>
            </c:numRef>
          </c:val>
        </c:ser>
        <c:axId val="1100452429"/>
        <c:axId val="1751787744"/>
      </c:barChart>
      <c:catAx>
        <c:axId val="1100452429"/>
        <c:scaling>
          <c:orientation val="minMax"/>
        </c:scaling>
        <c:delete val="0"/>
        <c:axPos val="b"/>
        <c:title>
          <c:tx>
            <c:rich>
              <a:bodyPr/>
              <a:lstStyle/>
              <a:p>
                <a:pPr lvl="0">
                  <a:defRPr b="0" sz="1600">
                    <a:solidFill>
                      <a:srgbClr val="000000"/>
                    </a:solidFill>
                    <a:latin typeface="Arial"/>
                  </a:defRPr>
                </a:pPr>
                <a:r>
                  <a:rPr b="0" sz="1600">
                    <a:solidFill>
                      <a:srgbClr val="000000"/>
                    </a:solidFill>
                    <a:latin typeface="Arial"/>
                  </a:rPr>
                  <a:t>Category</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1751787744"/>
      </c:catAx>
      <c:valAx>
        <c:axId val="17517877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Arial"/>
                  </a:defRPr>
                </a:pPr>
                <a:r>
                  <a:rPr b="0" sz="1600">
                    <a:solidFill>
                      <a:srgbClr val="000000"/>
                    </a:solidFill>
                    <a:latin typeface="Arial"/>
                  </a:rPr>
                  <a:t>Number of Products</a:t>
                </a:r>
              </a:p>
            </c:rich>
          </c:tx>
          <c:overlay val="0"/>
        </c:title>
        <c:numFmt formatCode="General" sourceLinked="1"/>
        <c:majorTickMark val="none"/>
        <c:minorTickMark val="none"/>
        <c:tickLblPos val="nextTo"/>
        <c:spPr>
          <a:ln/>
        </c:spPr>
        <c:txPr>
          <a:bodyPr/>
          <a:lstStyle/>
          <a:p>
            <a:pPr lvl="0">
              <a:defRPr b="0" sz="1400">
                <a:solidFill>
                  <a:srgbClr val="000000"/>
                </a:solidFill>
                <a:latin typeface="+mn-lt"/>
              </a:defRPr>
            </a:pPr>
          </a:p>
        </c:txPr>
        <c:crossAx val="110045242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757575"/>
                </a:solidFill>
                <a:latin typeface="+mn-lt"/>
              </a:defRPr>
            </a:pPr>
            <a:r>
              <a:rPr b="1" sz="2000">
                <a:solidFill>
                  <a:srgbClr val="757575"/>
                </a:solidFill>
                <a:latin typeface="+mn-lt"/>
              </a:rPr>
              <a:t>Distribution of Product Quantities</a:t>
            </a:r>
          </a:p>
        </c:rich>
      </c:tx>
      <c:overlay val="0"/>
    </c:title>
    <c:plotArea>
      <c:layout/>
      <c:barChart>
        <c:barDir val="col"/>
        <c:ser>
          <c:idx val="0"/>
          <c:order val="0"/>
          <c:tx>
            <c:strRef>
              <c:f>Charts!$I$26</c:f>
            </c:strRef>
          </c:tx>
          <c:spPr>
            <a:solidFill>
              <a:schemeClr val="accent1"/>
            </a:solidFill>
            <a:ln cmpd="sng">
              <a:solidFill>
                <a:srgbClr val="000000"/>
              </a:solidFill>
            </a:ln>
          </c:spPr>
          <c:cat>
            <c:strRef>
              <c:f>Charts!$H$27:$H$30</c:f>
            </c:strRef>
          </c:cat>
          <c:val>
            <c:numRef>
              <c:f>Charts!$I$27:$I$30</c:f>
              <c:numCache/>
            </c:numRef>
          </c:val>
        </c:ser>
        <c:axId val="236237197"/>
        <c:axId val="796560168"/>
      </c:barChart>
      <c:catAx>
        <c:axId val="236237197"/>
        <c:scaling>
          <c:orientation val="minMax"/>
        </c:scaling>
        <c:delete val="0"/>
        <c:axPos val="b"/>
        <c:title>
          <c:tx>
            <c:rich>
              <a:bodyPr/>
              <a:lstStyle/>
              <a:p>
                <a:pPr lvl="0">
                  <a:defRPr b="0" sz="1600">
                    <a:solidFill>
                      <a:srgbClr val="000000"/>
                    </a:solidFill>
                    <a:latin typeface="+mn-lt"/>
                  </a:defRPr>
                </a:pPr>
                <a:r>
                  <a:rPr b="0" sz="1600">
                    <a:solidFill>
                      <a:srgbClr val="000000"/>
                    </a:solidFill>
                    <a:latin typeface="+mn-lt"/>
                  </a:rPr>
                  <a:t>Quantity Range</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796560168"/>
      </c:catAx>
      <c:valAx>
        <c:axId val="7965601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Number of Products</a:t>
                </a:r>
              </a:p>
            </c:rich>
          </c:tx>
          <c:overlay val="0"/>
        </c:title>
        <c:numFmt formatCode="General" sourceLinked="1"/>
        <c:majorTickMark val="none"/>
        <c:minorTickMark val="none"/>
        <c:tickLblPos val="nextTo"/>
        <c:spPr>
          <a:ln/>
        </c:spPr>
        <c:txPr>
          <a:bodyPr/>
          <a:lstStyle/>
          <a:p>
            <a:pPr lvl="0">
              <a:defRPr b="0" sz="1400">
                <a:solidFill>
                  <a:srgbClr val="000000"/>
                </a:solidFill>
                <a:latin typeface="+mn-lt"/>
              </a:defRPr>
            </a:pPr>
          </a:p>
        </c:txPr>
        <c:crossAx val="23623719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757575"/>
                </a:solidFill>
                <a:latin typeface="+mn-lt"/>
              </a:defRPr>
            </a:pPr>
            <a:r>
              <a:rPr b="1" sz="2000">
                <a:solidFill>
                  <a:srgbClr val="757575"/>
                </a:solidFill>
                <a:latin typeface="+mn-lt"/>
              </a:rPr>
              <a:t>Price Distribution by Range</a:t>
            </a:r>
          </a:p>
        </c:rich>
      </c:tx>
      <c:overlay val="0"/>
    </c:title>
    <c:plotArea>
      <c:layout/>
      <c:barChart>
        <c:barDir val="col"/>
        <c:ser>
          <c:idx val="0"/>
          <c:order val="0"/>
          <c:tx>
            <c:strRef>
              <c:f>Charts!$I$47</c:f>
            </c:strRef>
          </c:tx>
          <c:spPr>
            <a:solidFill>
              <a:schemeClr val="accent1"/>
            </a:solidFill>
            <a:ln cmpd="sng">
              <a:solidFill>
                <a:srgbClr val="000000"/>
              </a:solidFill>
            </a:ln>
          </c:spPr>
          <c:cat>
            <c:strRef>
              <c:f>Charts!$H$48:$H$51</c:f>
            </c:strRef>
          </c:cat>
          <c:val>
            <c:numRef>
              <c:f>Charts!$I$48:$I$51</c:f>
              <c:numCache/>
            </c:numRef>
          </c:val>
        </c:ser>
        <c:axId val="4838664"/>
        <c:axId val="1391995640"/>
      </c:barChart>
      <c:catAx>
        <c:axId val="4838664"/>
        <c:scaling>
          <c:orientation val="minMax"/>
        </c:scaling>
        <c:delete val="0"/>
        <c:axPos val="b"/>
        <c:title>
          <c:tx>
            <c:rich>
              <a:bodyPr/>
              <a:lstStyle/>
              <a:p>
                <a:pPr lvl="0">
                  <a:defRPr b="0" sz="1600">
                    <a:solidFill>
                      <a:srgbClr val="000000"/>
                    </a:solidFill>
                    <a:latin typeface="+mn-lt"/>
                  </a:defRPr>
                </a:pPr>
                <a:r>
                  <a:rPr b="0" sz="1600">
                    <a:solidFill>
                      <a:srgbClr val="000000"/>
                    </a:solidFill>
                    <a:latin typeface="+mn-lt"/>
                  </a:rPr>
                  <a:t>Price Range ($)</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1391995640"/>
      </c:catAx>
      <c:valAx>
        <c:axId val="13919956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Number of Products</a:t>
                </a:r>
              </a:p>
            </c:rich>
          </c:tx>
          <c:overlay val="0"/>
        </c:title>
        <c:numFmt formatCode="General" sourceLinked="1"/>
        <c:majorTickMark val="none"/>
        <c:minorTickMark val="none"/>
        <c:tickLblPos val="nextTo"/>
        <c:spPr>
          <a:ln/>
        </c:spPr>
        <c:txPr>
          <a:bodyPr/>
          <a:lstStyle/>
          <a:p>
            <a:pPr lvl="0">
              <a:defRPr b="0" sz="1400">
                <a:solidFill>
                  <a:srgbClr val="000000"/>
                </a:solidFill>
                <a:latin typeface="+mn-lt"/>
              </a:defRPr>
            </a:pPr>
          </a:p>
        </c:txPr>
        <c:crossAx val="4838664"/>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1</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209550</xdr:colOff>
      <xdr:row>21</xdr:row>
      <xdr:rowOff>9525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209550</xdr:colOff>
      <xdr:row>42</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J44" sheet="Cleaned_Data"/>
  </cacheSource>
  <cacheFields>
    <cacheField name="Product Name" numFmtId="0">
      <sharedItems>
        <s v="Doggie Chew Bone"/>
        <s v="Puppy Leash"/>
        <s v="Dog Food Bag"/>
        <s v="Dog Collar Large"/>
        <s v="Dog Toy Squeaky"/>
        <s v="Puppy Treats"/>
        <s v="Dog Shampoo"/>
        <s v="Chew Toy"/>
        <s v="Dog Harness"/>
        <s v="Dog Bed Soft"/>
        <s v="Dog Toothpaste"/>
        <s v="Bone Toy"/>
        <s v="Puppy Blanket"/>
        <s v="Dog Jacket"/>
        <s v="Squeaky Ball"/>
        <s v="Dog Food Mini"/>
        <s v="Dog Training Clicker"/>
        <s v="Chew Treat"/>
        <s v="Dog Carrier Small"/>
        <s v="Puppy Pad"/>
        <s v="Dog Grooming Brush"/>
        <s v="Dog Bowl Stainless"/>
        <s v="Dog Treat Jar"/>
        <s v="Puppy Chew Rope"/>
        <s v="Dog Leash Retractable"/>
        <s v="Dog Sweater"/>
        <s v="Dog Hat"/>
        <s v="Dog Blanket"/>
        <s v="Dog Snack Bar"/>
        <s v="Dog Water Bottle"/>
        <s v="Puppy Chew Stick"/>
        <s v="Dog Bowl Large"/>
        <s v="Dog Nail Clippers"/>
        <s v="Puppy Toy Ball"/>
        <s v="Dog Harness Adjustable"/>
        <s v="Dog Jacket Xl"/>
        <s v="Dog Raincoat"/>
        <s v="Dog Bed King"/>
        <s v="Puppy Chew Ring"/>
        <s v="Dog Treat Box"/>
        <s v="Dog Collar Small"/>
      </sharedItems>
    </cacheField>
    <cacheField name="Category" numFmtId="0">
      <sharedItems>
        <s v="Chew Toys"/>
        <s v="Leash"/>
        <s v="Food"/>
        <s v="Collar"/>
        <s v="Toy"/>
        <s v="Treats"/>
        <s v="Shampoo"/>
        <s v="Harness"/>
        <s v="Bed"/>
        <s v="Toothpaste"/>
        <s v="Blanket"/>
        <s v="Jacket"/>
        <s v="Training"/>
        <s v="Carrier"/>
        <s v="Pads"/>
        <s v="Grooming"/>
        <s v="Bowl"/>
        <s v="Chew"/>
        <s v="Sweater"/>
        <s v="Hat"/>
        <s v="Snacks"/>
        <s v="Water Bottle"/>
        <s v="Clippers"/>
        <s v="Raincoat"/>
      </sharedItems>
    </cacheField>
    <cacheField name="Category (Standardized)" numFmtId="165">
      <sharedItems>
        <s v="Toys"/>
        <s v="Walking"/>
        <s v="Food"/>
        <s v="Treats"/>
        <s v="Grooming"/>
        <s v="Comfort"/>
        <s v="Accessories"/>
        <s v="Training"/>
        <s v="Pads"/>
        <s v="Bowl"/>
        <s v="Water Bottle"/>
      </sharedItems>
    </cacheField>
    <cacheField name="Price">
      <sharedItems containsMixedTypes="1" containsNumber="1">
        <n v="12.99"/>
        <n v="7.5"/>
        <n v="45.0"/>
        <n v="14.99"/>
        <n v="8.5"/>
        <n v="6.25"/>
        <n v="10.0"/>
        <n v="7.75"/>
        <n v="15.99"/>
        <n v="35.0"/>
        <n v="5.0"/>
        <n v="6.0"/>
        <n v="20.0"/>
        <n v="18.5"/>
        <n v="7.0"/>
        <n v="3.25"/>
        <n v="2.5"/>
        <n v="4.0"/>
        <n v="22.0"/>
        <n v="1.5"/>
        <n v="9.0"/>
        <n v="25.0"/>
        <n v="3.0"/>
        <n v="5.5"/>
        <n v="12.0"/>
        <n v="8.25"/>
        <n v="15.0"/>
        <n v="30.0"/>
        <n v="2.75"/>
        <n v="4.5"/>
        <n v="8.0"/>
        <n v="17.0"/>
        <n v="40.0"/>
        <s v="N/A"/>
      </sharedItems>
    </cacheField>
    <cacheField name="Price Range" numFmtId="0">
      <sharedItems>
        <s v="0-10"/>
        <s v="30+"/>
        <s v="10-20"/>
        <s v="20-30"/>
      </sharedItems>
    </cacheField>
    <cacheField name="Quantity" numFmtId="0">
      <sharedItems containsSemiMixedTypes="0" containsString="0" containsNumber="1" containsInteger="1">
        <n v="5.0"/>
        <n v="10.0"/>
        <n v="2.0"/>
        <n v="8.0"/>
        <n v="12.0"/>
        <n v="15.0"/>
        <n v="7.0"/>
        <n v="6.0"/>
        <n v="3.0"/>
        <n v="4.0"/>
        <n v="9.0"/>
        <n v="11.0"/>
        <n v="14.0"/>
        <n v="1.0"/>
        <n v="20.0"/>
      </sharedItems>
    </cacheField>
    <cacheField name="Quantity Range" numFmtId="0">
      <sharedItems>
        <s v="1-5"/>
        <s v="16+"/>
        <s v="6-10"/>
        <s v="11-15"/>
      </sharedItems>
    </cacheField>
    <cacheField name="Supplier" numFmtId="0">
      <sharedItems>
        <s v="Happypaws"/>
        <s v="Dogworld"/>
        <s v="Petco"/>
        <s v="Paws N Claws"/>
        <s v="Doggiemart"/>
        <s v="Furever"/>
        <s v="Puppysupply"/>
        <s v="Pethub"/>
        <s v="Barkshop"/>
        <s v="Caninecorner"/>
        <s v="Pupstore"/>
      </sharedItems>
    </cacheField>
    <cacheField name="Date Ordered" numFmtId="164">
      <sharedItems containsSemiMixedTypes="0" containsDate="1" containsString="0">
        <d v="2026-01-02T00:00:00Z"/>
        <d v="2026-01-05T00:00:00Z"/>
        <d v="2026-01-07T00:00:00Z"/>
        <d v="2026-01-10T00:00:00Z"/>
        <d v="2026-01-12T00:00:00Z"/>
        <d v="2026-01-15T00:00:00Z"/>
        <d v="2026-01-18T00:00:00Z"/>
        <d v="2026-01-20T00:00:00Z"/>
        <d v="2026-01-22T00:00:00Z"/>
        <d v="2026-01-25T00:00:00Z"/>
        <d v="2026-01-28T00:00:00Z"/>
        <d v="2026-01-30T00:00:00Z"/>
        <d v="2026-02-01T00:00:00Z"/>
        <d v="2026-02-03T00:00:00Z"/>
        <d v="2026-02-05T00:00:00Z"/>
        <d v="2026-02-07T00:00:00Z"/>
        <d v="2026-02-10T00:00:00Z"/>
        <d v="2026-02-12T00:00:00Z"/>
        <d v="2026-02-14T00:00:00Z"/>
        <d v="2026-02-16T00:00:00Z"/>
        <d v="2026-02-18T00:00:00Z"/>
        <d v="2026-02-20T00:00:00Z"/>
        <d v="2026-02-22T00:00:00Z"/>
        <d v="2026-02-24T00:00:00Z"/>
        <d v="2026-02-26T00:00:00Z"/>
        <d v="2026-02-28T00:00:00Z"/>
        <d v="2026-03-01T00:00:00Z"/>
        <d v="2026-03-03T00:00:00Z"/>
        <d v="2026-03-05T00:00:00Z"/>
        <d v="2026-03-07T00:00:00Z"/>
        <d v="2026-03-10T00:00:00Z"/>
        <d v="2026-03-12T00:00:00Z"/>
        <d v="2026-03-14T00:00:00Z"/>
        <d v="2026-03-16T00:00:00Z"/>
        <d v="2026-03-18T00:00:00Z"/>
        <d v="2026-03-20T00:00:00Z"/>
        <d v="2026-03-22T00:00:00Z"/>
        <d v="2026-03-25T00:00:00Z"/>
        <d v="2026-03-27T00:00:00Z"/>
        <d v="2026-03-29T00:00:00Z"/>
        <d v="2026-03-31T00:00:00Z"/>
      </sharedItems>
    </cacheField>
    <cacheField name="Cleaning Action Taken" numFmtId="0">
      <sharedItems>
        <s v="Capitalization corrected; price formatted"/>
        <s v="Capitalization corrected; marked missing price as N/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harts" cacheId="0" dataCaption="" compact="0" compactData="0">
  <location ref="H2:I14" firstHeaderRow="0" firstDataRow="1" firstDataCol="0"/>
  <pivotFields>
    <pivotField name="Product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tegory (Standardized)" axis="axisRow" compact="0" numFmtId="165" outline="0" multipleItemSelectionAllowed="1" showAll="0" sortType="ascending">
      <items>
        <item x="6"/>
        <item x="9"/>
        <item x="5"/>
        <item x="2"/>
        <item x="4"/>
        <item x="8"/>
        <item x="0"/>
        <item x="7"/>
        <item x="3"/>
        <item x="1"/>
        <item x="10"/>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rice Range" compact="0" outline="0" multipleItemSelectionAllowed="1" showAll="0">
      <items>
        <item x="0"/>
        <item x="1"/>
        <item x="2"/>
        <item x="3"/>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Quantity Range" compact="0" outline="0" multipleItemSelectionAllowed="1" showAll="0">
      <items>
        <item x="0"/>
        <item x="1"/>
        <item x="2"/>
        <item x="3"/>
        <item t="default"/>
      </items>
    </pivotField>
    <pivotField name="Supplier" compact="0" outline="0" multipleItemSelectionAllowed="1" showAll="0">
      <items>
        <item x="0"/>
        <item x="1"/>
        <item x="2"/>
        <item x="3"/>
        <item x="4"/>
        <item x="5"/>
        <item x="6"/>
        <item x="7"/>
        <item x="8"/>
        <item x="9"/>
        <item x="10"/>
        <item t="default"/>
      </items>
    </pivotField>
    <pivotField name="Date Order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leaning Action Taken" compact="0" outline="0" multipleItemSelectionAllowed="1" showAll="0">
      <items>
        <item x="0"/>
        <item x="1"/>
        <item t="default"/>
      </items>
    </pivotField>
  </pivotFields>
  <rowFields>
    <field x="2"/>
  </rowFields>
  <dataFields>
    <dataField name="COUNTA of Product Name" fld="0" subtotal="count" baseField="0"/>
  </dataFields>
</pivotTableDefinition>
</file>

<file path=xl/pivotTables/pivotTable2.xml><?xml version="1.0" encoding="utf-8"?>
<pivotTableDefinition xmlns="http://schemas.openxmlformats.org/spreadsheetml/2006/main" name="Charts 2" cacheId="0" dataCaption="" compact="0" compactData="0">
  <location ref="H26:I31" firstHeaderRow="0" firstDataRow="1" firstDataCol="0"/>
  <pivotFields>
    <pivotField name="Product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tegory (Standardized)" compact="0" numFmtId="165" outline="0" multipleItemSelectionAllowed="1" showAll="0">
      <items>
        <item x="0"/>
        <item x="1"/>
        <item x="2"/>
        <item x="3"/>
        <item x="4"/>
        <item x="5"/>
        <item x="6"/>
        <item x="7"/>
        <item x="8"/>
        <item x="9"/>
        <item x="10"/>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rice Range" compact="0" outline="0" multipleItemSelectionAllowed="1" showAll="0">
      <items>
        <item x="0"/>
        <item x="1"/>
        <item x="2"/>
        <item x="3"/>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Quantity Range" axis="axisRow" compact="0" outline="0" multipleItemSelectionAllowed="1" showAll="0" sortType="ascending">
      <items>
        <item x="0"/>
        <item x="3"/>
        <item x="1"/>
        <item x="2"/>
        <item t="default"/>
      </items>
    </pivotField>
    <pivotField name="Supplier" compact="0" outline="0" multipleItemSelectionAllowed="1" showAll="0">
      <items>
        <item x="0"/>
        <item x="1"/>
        <item x="2"/>
        <item x="3"/>
        <item x="4"/>
        <item x="5"/>
        <item x="6"/>
        <item x="7"/>
        <item x="8"/>
        <item x="9"/>
        <item x="10"/>
        <item t="default"/>
      </items>
    </pivotField>
    <pivotField name="Date Order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leaning Action Taken" compact="0" outline="0" multipleItemSelectionAllowed="1" showAll="0">
      <items>
        <item x="0"/>
        <item x="1"/>
        <item t="default"/>
      </items>
    </pivotField>
  </pivotFields>
  <rowFields>
    <field x="6"/>
  </rowFields>
  <dataFields>
    <dataField name="COUNTA of Product Name" fld="0" subtotal="count" baseField="0"/>
  </dataFields>
</pivotTableDefinition>
</file>

<file path=xl/pivotTables/pivotTable3.xml><?xml version="1.0" encoding="utf-8"?>
<pivotTableDefinition xmlns="http://schemas.openxmlformats.org/spreadsheetml/2006/main" name="Charts 3" cacheId="0" dataCaption="" compact="0" compactData="0">
  <location ref="H47:I52" firstHeaderRow="0" firstDataRow="1" firstDataCol="0"/>
  <pivotFields>
    <pivotField name="Product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tegory (Standardized)" compact="0" numFmtId="165" outline="0" multipleItemSelectionAllowed="1" showAll="0">
      <items>
        <item x="0"/>
        <item x="1"/>
        <item x="2"/>
        <item x="3"/>
        <item x="4"/>
        <item x="5"/>
        <item x="6"/>
        <item x="7"/>
        <item x="8"/>
        <item x="9"/>
        <item x="10"/>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rice Range" axis="axisRow" compact="0" outline="0" multipleItemSelectionAllowed="1" showAll="0" sortType="ascending">
      <items>
        <item x="0"/>
        <item x="2"/>
        <item x="3"/>
        <item x="1"/>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Quantity Range" compact="0" outline="0" multipleItemSelectionAllowed="1" showAll="0">
      <items>
        <item x="0"/>
        <item x="1"/>
        <item x="2"/>
        <item x="3"/>
        <item t="default"/>
      </items>
    </pivotField>
    <pivotField name="Supplier" compact="0" outline="0" multipleItemSelectionAllowed="1" showAll="0">
      <items>
        <item x="0"/>
        <item x="1"/>
        <item x="2"/>
        <item x="3"/>
        <item x="4"/>
        <item x="5"/>
        <item x="6"/>
        <item x="7"/>
        <item x="8"/>
        <item x="9"/>
        <item x="10"/>
        <item t="default"/>
      </items>
    </pivotField>
    <pivotField name="Date Order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leaning Action Taken" compact="0" outline="0" multipleItemSelectionAllowed="1" showAll="0">
      <items>
        <item x="0"/>
        <item x="1"/>
        <item t="default"/>
      </items>
    </pivotField>
  </pivotFields>
  <rowFields>
    <field x="4"/>
  </rowFields>
  <dataFields>
    <dataField name="COUNTA of Product Name" fld="0" subtotal="count" baseField="0"/>
  </dataFields>
</pivotTableDefinition>
</file>

<file path=xl/tables/table1.xml><?xml version="1.0" encoding="utf-8"?>
<table xmlns="http://schemas.openxmlformats.org/spreadsheetml/2006/main" ref="A3:F44" displayName="Raw_Data" name="Raw_Data" id="1">
  <tableColumns count="6">
    <tableColumn name="Product Name" id="1"/>
    <tableColumn name="Category" id="2"/>
    <tableColumn name="Price" id="3"/>
    <tableColumn name="Quantity" id="4"/>
    <tableColumn name="Supplier" id="5"/>
    <tableColumn name="Date Ordered" id="6"/>
  </tableColumns>
  <tableStyleInfo name="Raw_Data-style" showColumnStripes="0" showFirstColumn="1" showLastColumn="1" showRowStripes="1"/>
</table>
</file>

<file path=xl/tables/table2.xml><?xml version="1.0" encoding="utf-8"?>
<table xmlns="http://schemas.openxmlformats.org/spreadsheetml/2006/main" ref="A3:J44" displayName="Cleaned_Data" name="Cleaned_Data" id="2">
  <tableColumns count="10">
    <tableColumn name="Product Name" id="1"/>
    <tableColumn name="Category" id="2"/>
    <tableColumn name="Category (Standardized)" id="3"/>
    <tableColumn name="Price" id="4"/>
    <tableColumn name="Price Range" id="5"/>
    <tableColumn name="Quantity" id="6"/>
    <tableColumn name="Quantity Range" id="7"/>
    <tableColumn name="Supplier" id="8"/>
    <tableColumn name="Date Ordered" id="9"/>
    <tableColumn name="Cleaning Action Taken" id="10"/>
  </tableColumns>
  <tableStyleInfo name="Cleaned_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38"/>
    <col customWidth="1" min="2" max="2" width="16.75"/>
    <col customWidth="1" min="3" max="3" width="17.38"/>
    <col customWidth="1" min="4" max="4" width="14.13"/>
    <col customWidth="1" min="6" max="6" width="19.25"/>
    <col customWidth="1" min="7" max="7" width="16.75"/>
    <col customWidth="1" min="9" max="9" width="17.75"/>
  </cols>
  <sheetData>
    <row r="1">
      <c r="A1" s="1" t="s">
        <v>0</v>
      </c>
      <c r="B1" s="2"/>
      <c r="C1" s="2"/>
      <c r="D1" s="2"/>
      <c r="E1" s="2"/>
      <c r="F1" s="2"/>
      <c r="G1" s="2"/>
      <c r="H1" s="2"/>
      <c r="I1" s="2"/>
    </row>
    <row r="2">
      <c r="A2" s="3"/>
      <c r="G2" s="2"/>
      <c r="H2" s="2"/>
      <c r="I2" s="2"/>
    </row>
    <row r="3" ht="22.5" customHeight="1">
      <c r="A3" s="4" t="s">
        <v>1</v>
      </c>
      <c r="B3" s="4" t="s">
        <v>2</v>
      </c>
      <c r="C3" s="4" t="s">
        <v>3</v>
      </c>
      <c r="D3" s="4" t="s">
        <v>4</v>
      </c>
      <c r="E3" s="4" t="s">
        <v>5</v>
      </c>
      <c r="F3" s="4" t="s">
        <v>6</v>
      </c>
      <c r="G3" s="2"/>
      <c r="H3" s="2"/>
      <c r="I3" s="2"/>
    </row>
    <row r="4" ht="22.5" customHeight="1">
      <c r="A4" s="5" t="s">
        <v>7</v>
      </c>
      <c r="B4" s="5" t="s">
        <v>8</v>
      </c>
      <c r="C4" s="5">
        <v>12.99</v>
      </c>
      <c r="D4" s="5">
        <v>5.0</v>
      </c>
      <c r="E4" s="5" t="s">
        <v>9</v>
      </c>
      <c r="F4" s="6">
        <v>46024.0</v>
      </c>
      <c r="G4" s="7"/>
      <c r="H4" s="7"/>
      <c r="I4" s="7"/>
    </row>
    <row r="5" ht="22.5" customHeight="1">
      <c r="A5" s="5" t="s">
        <v>10</v>
      </c>
      <c r="B5" s="5" t="s">
        <v>11</v>
      </c>
      <c r="C5" s="5">
        <v>7.5</v>
      </c>
      <c r="D5" s="5">
        <v>10.0</v>
      </c>
      <c r="E5" s="5" t="s">
        <v>12</v>
      </c>
      <c r="F5" s="6">
        <v>46027.0</v>
      </c>
      <c r="G5" s="7"/>
      <c r="H5" s="7"/>
      <c r="I5" s="7"/>
    </row>
    <row r="6" ht="22.5" customHeight="1">
      <c r="A6" s="5" t="s">
        <v>13</v>
      </c>
      <c r="B6" s="5" t="s">
        <v>14</v>
      </c>
      <c r="C6" s="5">
        <v>45.0</v>
      </c>
      <c r="D6" s="5">
        <v>2.0</v>
      </c>
      <c r="E6" s="5" t="s">
        <v>15</v>
      </c>
      <c r="F6" s="6">
        <v>46029.0</v>
      </c>
      <c r="G6" s="7"/>
      <c r="H6" s="7"/>
      <c r="I6" s="7"/>
    </row>
    <row r="7" ht="22.5" customHeight="1">
      <c r="A7" s="5" t="s">
        <v>16</v>
      </c>
      <c r="B7" s="5" t="s">
        <v>17</v>
      </c>
      <c r="C7" s="5">
        <v>14.99</v>
      </c>
      <c r="D7" s="5">
        <v>8.0</v>
      </c>
      <c r="E7" s="5" t="s">
        <v>18</v>
      </c>
      <c r="F7" s="6">
        <v>46032.0</v>
      </c>
      <c r="G7" s="7"/>
      <c r="H7" s="7"/>
      <c r="I7" s="7"/>
    </row>
    <row r="8" ht="22.5" customHeight="1">
      <c r="A8" s="5" t="s">
        <v>19</v>
      </c>
      <c r="B8" s="5" t="s">
        <v>20</v>
      </c>
      <c r="C8" s="5">
        <v>8.5</v>
      </c>
      <c r="D8" s="5">
        <v>12.0</v>
      </c>
      <c r="E8" s="5" t="s">
        <v>21</v>
      </c>
      <c r="F8" s="6">
        <v>46034.0</v>
      </c>
      <c r="G8" s="7"/>
      <c r="H8" s="7"/>
      <c r="I8" s="7"/>
    </row>
    <row r="9" ht="22.5" customHeight="1">
      <c r="A9" s="5" t="s">
        <v>22</v>
      </c>
      <c r="B9" s="5" t="s">
        <v>23</v>
      </c>
      <c r="C9" s="5">
        <v>6.25</v>
      </c>
      <c r="D9" s="5">
        <v>15.0</v>
      </c>
      <c r="E9" s="5" t="s">
        <v>24</v>
      </c>
      <c r="F9" s="6">
        <v>46037.0</v>
      </c>
      <c r="G9" s="7"/>
      <c r="H9" s="7"/>
      <c r="I9" s="7"/>
    </row>
    <row r="10" ht="22.5" customHeight="1">
      <c r="A10" s="5" t="s">
        <v>25</v>
      </c>
      <c r="B10" s="5" t="s">
        <v>26</v>
      </c>
      <c r="C10" s="5">
        <v>10.0</v>
      </c>
      <c r="D10" s="5">
        <v>7.0</v>
      </c>
      <c r="E10" s="8" t="s">
        <v>27</v>
      </c>
      <c r="F10" s="6">
        <v>46040.0</v>
      </c>
      <c r="G10" s="7"/>
      <c r="H10" s="7"/>
      <c r="I10" s="7"/>
    </row>
    <row r="11" ht="22.5" customHeight="1">
      <c r="A11" s="5" t="s">
        <v>28</v>
      </c>
      <c r="B11" s="5" t="s">
        <v>20</v>
      </c>
      <c r="C11" s="5">
        <v>7.75</v>
      </c>
      <c r="D11" s="5">
        <v>6.0</v>
      </c>
      <c r="E11" s="5" t="s">
        <v>29</v>
      </c>
      <c r="F11" s="6">
        <v>46042.0</v>
      </c>
      <c r="G11" s="7"/>
      <c r="H11" s="7"/>
      <c r="I11" s="7"/>
    </row>
    <row r="12" ht="22.5" customHeight="1">
      <c r="A12" s="5" t="s">
        <v>30</v>
      </c>
      <c r="B12" s="5" t="s">
        <v>31</v>
      </c>
      <c r="C12" s="5">
        <v>15.99</v>
      </c>
      <c r="D12" s="5">
        <v>3.0</v>
      </c>
      <c r="E12" s="5" t="s">
        <v>32</v>
      </c>
      <c r="F12" s="6">
        <v>46044.0</v>
      </c>
      <c r="G12" s="7"/>
      <c r="H12" s="7"/>
      <c r="I12" s="7"/>
    </row>
    <row r="13" ht="22.5" customHeight="1">
      <c r="A13" s="5" t="s">
        <v>33</v>
      </c>
      <c r="B13" s="5" t="s">
        <v>34</v>
      </c>
      <c r="C13" s="5">
        <v>35.0</v>
      </c>
      <c r="D13" s="5">
        <v>4.0</v>
      </c>
      <c r="E13" s="5" t="s">
        <v>35</v>
      </c>
      <c r="F13" s="6">
        <v>46047.0</v>
      </c>
      <c r="G13" s="7"/>
      <c r="H13" s="7"/>
      <c r="I13" s="7"/>
    </row>
    <row r="14" ht="22.5" customHeight="1">
      <c r="A14" s="5" t="s">
        <v>36</v>
      </c>
      <c r="B14" s="5" t="s">
        <v>37</v>
      </c>
      <c r="C14" s="5">
        <v>5.0</v>
      </c>
      <c r="D14" s="5">
        <v>10.0</v>
      </c>
      <c r="E14" s="5" t="s">
        <v>38</v>
      </c>
      <c r="F14" s="6">
        <v>46050.0</v>
      </c>
      <c r="G14" s="7"/>
      <c r="H14" s="7"/>
      <c r="I14" s="7"/>
    </row>
    <row r="15" ht="22.5" customHeight="1">
      <c r="A15" s="5" t="s">
        <v>39</v>
      </c>
      <c r="B15" s="5" t="s">
        <v>20</v>
      </c>
      <c r="C15" s="5">
        <v>6.0</v>
      </c>
      <c r="D15" s="5">
        <v>9.0</v>
      </c>
      <c r="E15" s="5" t="s">
        <v>21</v>
      </c>
      <c r="F15" s="6">
        <v>46052.0</v>
      </c>
      <c r="G15" s="7"/>
      <c r="H15" s="7"/>
      <c r="I15" s="7"/>
    </row>
    <row r="16" ht="22.5" customHeight="1">
      <c r="A16" s="5" t="s">
        <v>40</v>
      </c>
      <c r="B16" s="5" t="s">
        <v>41</v>
      </c>
      <c r="C16" s="5">
        <v>20.0</v>
      </c>
      <c r="D16" s="5">
        <v>5.0</v>
      </c>
      <c r="E16" s="5" t="s">
        <v>9</v>
      </c>
      <c r="F16" s="6">
        <v>46054.0</v>
      </c>
      <c r="G16" s="7"/>
      <c r="H16" s="7"/>
      <c r="I16" s="7"/>
    </row>
    <row r="17" ht="22.5" customHeight="1">
      <c r="A17" s="5" t="s">
        <v>42</v>
      </c>
      <c r="B17" s="5" t="s">
        <v>43</v>
      </c>
      <c r="C17" s="5">
        <v>18.5</v>
      </c>
      <c r="D17" s="5">
        <v>2.0</v>
      </c>
      <c r="E17" s="5" t="s">
        <v>15</v>
      </c>
      <c r="F17" s="6">
        <v>46056.0</v>
      </c>
      <c r="G17" s="7"/>
      <c r="H17" s="7"/>
      <c r="I17" s="7"/>
    </row>
    <row r="18" ht="22.5" customHeight="1">
      <c r="A18" s="5" t="s">
        <v>44</v>
      </c>
      <c r="B18" s="5" t="s">
        <v>20</v>
      </c>
      <c r="C18" s="5">
        <v>7.0</v>
      </c>
      <c r="D18" s="5">
        <v>11.0</v>
      </c>
      <c r="E18" s="5" t="s">
        <v>32</v>
      </c>
      <c r="F18" s="6">
        <v>46058.0</v>
      </c>
      <c r="G18" s="7"/>
      <c r="H18" s="7"/>
      <c r="I18" s="7"/>
    </row>
    <row r="19" ht="22.5" customHeight="1">
      <c r="A19" s="5" t="s">
        <v>45</v>
      </c>
      <c r="B19" s="5" t="s">
        <v>14</v>
      </c>
      <c r="C19" s="5">
        <v>3.25</v>
      </c>
      <c r="D19" s="5">
        <v>8.0</v>
      </c>
      <c r="E19" s="5" t="s">
        <v>18</v>
      </c>
      <c r="F19" s="6">
        <v>46060.0</v>
      </c>
      <c r="G19" s="7"/>
      <c r="H19" s="7"/>
      <c r="I19" s="7"/>
    </row>
    <row r="20" ht="22.5" customHeight="1">
      <c r="A20" s="5" t="s">
        <v>46</v>
      </c>
      <c r="B20" s="5" t="s">
        <v>47</v>
      </c>
      <c r="C20" s="5">
        <v>2.5</v>
      </c>
      <c r="D20" s="5">
        <v>6.0</v>
      </c>
      <c r="E20" s="5" t="s">
        <v>29</v>
      </c>
      <c r="F20" s="6">
        <v>46063.0</v>
      </c>
      <c r="G20" s="7"/>
      <c r="H20" s="7"/>
      <c r="I20" s="7"/>
    </row>
    <row r="21" ht="22.5" customHeight="1">
      <c r="A21" s="5" t="s">
        <v>48</v>
      </c>
      <c r="B21" s="5" t="s">
        <v>23</v>
      </c>
      <c r="C21" s="5">
        <v>4.0</v>
      </c>
      <c r="D21" s="5">
        <v>14.0</v>
      </c>
      <c r="E21" s="5" t="s">
        <v>24</v>
      </c>
      <c r="F21" s="6">
        <v>46065.0</v>
      </c>
      <c r="G21" s="7"/>
      <c r="H21" s="7"/>
      <c r="I21" s="7"/>
    </row>
    <row r="22" ht="22.5" customHeight="1">
      <c r="A22" s="5" t="s">
        <v>49</v>
      </c>
      <c r="B22" s="5" t="s">
        <v>50</v>
      </c>
      <c r="C22" s="5">
        <v>22.0</v>
      </c>
      <c r="D22" s="5">
        <v>1.0</v>
      </c>
      <c r="E22" s="5" t="s">
        <v>12</v>
      </c>
      <c r="F22" s="6">
        <v>46067.0</v>
      </c>
      <c r="G22" s="7"/>
      <c r="H22" s="7"/>
      <c r="I22" s="7"/>
    </row>
    <row r="23" ht="22.5" customHeight="1">
      <c r="A23" s="5" t="s">
        <v>51</v>
      </c>
      <c r="B23" s="5" t="s">
        <v>52</v>
      </c>
      <c r="C23" s="5">
        <v>1.5</v>
      </c>
      <c r="D23" s="5">
        <v>20.0</v>
      </c>
      <c r="E23" s="5" t="s">
        <v>27</v>
      </c>
      <c r="F23" s="6">
        <v>46069.0</v>
      </c>
      <c r="G23" s="7"/>
      <c r="H23" s="7"/>
      <c r="I23" s="7"/>
    </row>
    <row r="24" ht="22.5" customHeight="1">
      <c r="A24" s="5" t="s">
        <v>53</v>
      </c>
      <c r="B24" s="5" t="s">
        <v>54</v>
      </c>
      <c r="C24" s="5">
        <v>9.0</v>
      </c>
      <c r="D24" s="5">
        <v>5.0</v>
      </c>
      <c r="E24" s="5" t="s">
        <v>35</v>
      </c>
      <c r="F24" s="6">
        <v>46071.0</v>
      </c>
      <c r="G24" s="7"/>
      <c r="H24" s="7"/>
      <c r="I24" s="7"/>
    </row>
    <row r="25" ht="22.5" customHeight="1">
      <c r="A25" s="5" t="s">
        <v>55</v>
      </c>
      <c r="B25" s="5" t="s">
        <v>56</v>
      </c>
      <c r="C25" s="5">
        <v>25.0</v>
      </c>
      <c r="D25" s="5">
        <v>12.0</v>
      </c>
      <c r="E25" s="5" t="s">
        <v>21</v>
      </c>
      <c r="F25" s="6">
        <v>46073.0</v>
      </c>
      <c r="G25" s="7"/>
      <c r="H25" s="7"/>
      <c r="I25" s="7"/>
    </row>
    <row r="26" ht="22.5" customHeight="1">
      <c r="A26" s="5" t="s">
        <v>57</v>
      </c>
      <c r="B26" s="5" t="s">
        <v>23</v>
      </c>
      <c r="C26" s="5">
        <v>3.0</v>
      </c>
      <c r="D26" s="5">
        <v>10.0</v>
      </c>
      <c r="E26" s="5" t="s">
        <v>9</v>
      </c>
      <c r="F26" s="6">
        <v>46075.0</v>
      </c>
      <c r="G26" s="7"/>
      <c r="H26" s="7"/>
      <c r="I26" s="7"/>
    </row>
    <row r="27" ht="22.5" customHeight="1">
      <c r="A27" s="5" t="s">
        <v>58</v>
      </c>
      <c r="B27" s="5" t="s">
        <v>59</v>
      </c>
      <c r="C27" s="5">
        <v>5.5</v>
      </c>
      <c r="D27" s="5">
        <v>7.0</v>
      </c>
      <c r="E27" s="5" t="s">
        <v>15</v>
      </c>
      <c r="F27" s="6">
        <v>46077.0</v>
      </c>
      <c r="G27" s="7"/>
      <c r="H27" s="7"/>
      <c r="I27" s="7"/>
    </row>
    <row r="28" ht="22.5" customHeight="1">
      <c r="A28" s="5" t="s">
        <v>60</v>
      </c>
      <c r="B28" s="5" t="s">
        <v>11</v>
      </c>
      <c r="C28" s="5">
        <v>12.0</v>
      </c>
      <c r="D28" s="5">
        <v>8.0</v>
      </c>
      <c r="E28" s="5" t="s">
        <v>32</v>
      </c>
      <c r="F28" s="6">
        <v>46079.0</v>
      </c>
      <c r="G28" s="7"/>
      <c r="H28" s="7"/>
      <c r="I28" s="7"/>
    </row>
    <row r="29" ht="22.5" customHeight="1">
      <c r="A29" s="5" t="s">
        <v>61</v>
      </c>
      <c r="B29" s="5" t="s">
        <v>62</v>
      </c>
      <c r="C29" s="5">
        <v>8.25</v>
      </c>
      <c r="D29" s="5">
        <v>5.0</v>
      </c>
      <c r="E29" s="5" t="s">
        <v>24</v>
      </c>
      <c r="F29" s="6">
        <v>46081.0</v>
      </c>
      <c r="G29" s="7"/>
      <c r="H29" s="7"/>
      <c r="I29" s="7"/>
    </row>
    <row r="30" ht="22.5" customHeight="1">
      <c r="A30" s="5" t="s">
        <v>63</v>
      </c>
      <c r="B30" s="5" t="s">
        <v>64</v>
      </c>
      <c r="C30" s="5">
        <v>15.0</v>
      </c>
      <c r="D30" s="5">
        <v>6.0</v>
      </c>
      <c r="E30" s="5" t="s">
        <v>27</v>
      </c>
      <c r="F30" s="6">
        <v>46082.0</v>
      </c>
      <c r="G30" s="7"/>
      <c r="H30" s="7"/>
      <c r="I30" s="7"/>
    </row>
    <row r="31" ht="22.5" customHeight="1">
      <c r="A31" s="5" t="s">
        <v>65</v>
      </c>
      <c r="B31" s="5" t="s">
        <v>41</v>
      </c>
      <c r="C31" s="5">
        <v>30.0</v>
      </c>
      <c r="D31" s="5">
        <v>4.0</v>
      </c>
      <c r="E31" s="5" t="s">
        <v>18</v>
      </c>
      <c r="F31" s="6">
        <v>46084.0</v>
      </c>
      <c r="G31" s="7"/>
      <c r="H31" s="7"/>
      <c r="I31" s="7"/>
    </row>
    <row r="32" ht="22.5" customHeight="1">
      <c r="A32" s="5" t="s">
        <v>66</v>
      </c>
      <c r="B32" s="5" t="s">
        <v>67</v>
      </c>
      <c r="C32" s="5">
        <v>2.75</v>
      </c>
      <c r="D32" s="5">
        <v>9.0</v>
      </c>
      <c r="E32" s="5" t="s">
        <v>35</v>
      </c>
      <c r="F32" s="6">
        <v>46086.0</v>
      </c>
      <c r="G32" s="7"/>
      <c r="H32" s="7"/>
      <c r="I32" s="7"/>
    </row>
    <row r="33" ht="22.5" customHeight="1">
      <c r="A33" s="5" t="s">
        <v>68</v>
      </c>
      <c r="B33" s="5" t="s">
        <v>69</v>
      </c>
      <c r="C33" s="5">
        <v>4.5</v>
      </c>
      <c r="D33" s="5">
        <v>3.0</v>
      </c>
      <c r="E33" s="5" t="s">
        <v>29</v>
      </c>
      <c r="F33" s="6">
        <v>46088.0</v>
      </c>
      <c r="G33" s="7"/>
      <c r="H33" s="7"/>
      <c r="I33" s="7"/>
    </row>
    <row r="34" ht="22.5" customHeight="1">
      <c r="A34" s="5" t="s">
        <v>70</v>
      </c>
      <c r="B34" s="5" t="s">
        <v>59</v>
      </c>
      <c r="C34" s="5">
        <v>20.0</v>
      </c>
      <c r="D34" s="5">
        <v>10.0</v>
      </c>
      <c r="E34" s="5" t="s">
        <v>9</v>
      </c>
      <c r="F34" s="6">
        <v>46091.0</v>
      </c>
      <c r="G34" s="7"/>
      <c r="H34" s="7"/>
      <c r="I34" s="7"/>
    </row>
    <row r="35" ht="22.5" customHeight="1">
      <c r="A35" s="5" t="s">
        <v>71</v>
      </c>
      <c r="B35" s="5" t="s">
        <v>56</v>
      </c>
      <c r="C35" s="5">
        <v>6.0</v>
      </c>
      <c r="D35" s="5">
        <v>8.0</v>
      </c>
      <c r="E35" s="5" t="s">
        <v>12</v>
      </c>
      <c r="F35" s="6">
        <v>46093.0</v>
      </c>
      <c r="G35" s="7"/>
      <c r="H35" s="7"/>
      <c r="I35" s="7"/>
    </row>
    <row r="36" ht="22.5" customHeight="1">
      <c r="A36" s="5" t="s">
        <v>72</v>
      </c>
      <c r="B36" s="5" t="s">
        <v>73</v>
      </c>
      <c r="C36" s="5">
        <v>8.0</v>
      </c>
      <c r="D36" s="5">
        <v>6.0</v>
      </c>
      <c r="E36" s="5" t="s">
        <v>15</v>
      </c>
      <c r="F36" s="6">
        <v>46095.0</v>
      </c>
      <c r="G36" s="7"/>
      <c r="H36" s="7"/>
      <c r="I36" s="7"/>
    </row>
    <row r="37" ht="22.5" customHeight="1">
      <c r="A37" s="5" t="s">
        <v>74</v>
      </c>
      <c r="B37" s="5" t="s">
        <v>20</v>
      </c>
      <c r="C37" s="5">
        <v>17.0</v>
      </c>
      <c r="D37" s="5">
        <v>12.0</v>
      </c>
      <c r="E37" s="5" t="s">
        <v>32</v>
      </c>
      <c r="F37" s="6">
        <v>46097.0</v>
      </c>
      <c r="G37" s="7"/>
      <c r="H37" s="7"/>
      <c r="I37" s="7"/>
    </row>
    <row r="38" ht="22.5" customHeight="1">
      <c r="A38" s="5" t="s">
        <v>75</v>
      </c>
      <c r="B38" s="5" t="s">
        <v>31</v>
      </c>
      <c r="C38" s="5">
        <v>22.0</v>
      </c>
      <c r="D38" s="5">
        <v>2.0</v>
      </c>
      <c r="E38" s="5" t="s">
        <v>21</v>
      </c>
      <c r="F38" s="6">
        <v>46099.0</v>
      </c>
      <c r="G38" s="7"/>
      <c r="H38" s="7"/>
      <c r="I38" s="7"/>
    </row>
    <row r="39" ht="22.5" customHeight="1">
      <c r="A39" s="5" t="s">
        <v>76</v>
      </c>
      <c r="B39" s="5" t="s">
        <v>43</v>
      </c>
      <c r="C39" s="5">
        <v>40.0</v>
      </c>
      <c r="D39" s="5">
        <v>5.0</v>
      </c>
      <c r="E39" s="5" t="s">
        <v>24</v>
      </c>
      <c r="F39" s="6">
        <v>46101.0</v>
      </c>
      <c r="G39" s="7"/>
      <c r="H39" s="7"/>
      <c r="I39" s="7"/>
    </row>
    <row r="40" ht="22.5" customHeight="1">
      <c r="A40" s="5" t="s">
        <v>77</v>
      </c>
      <c r="B40" s="5" t="s">
        <v>78</v>
      </c>
      <c r="C40" s="5">
        <v>3.25</v>
      </c>
      <c r="D40" s="5">
        <v>3.0</v>
      </c>
      <c r="E40" s="5" t="s">
        <v>27</v>
      </c>
      <c r="F40" s="6">
        <v>46103.0</v>
      </c>
      <c r="G40" s="7"/>
      <c r="H40" s="7"/>
      <c r="I40" s="7"/>
    </row>
    <row r="41" ht="22.5" customHeight="1">
      <c r="A41" s="5" t="s">
        <v>79</v>
      </c>
      <c r="B41" s="5" t="s">
        <v>34</v>
      </c>
      <c r="C41" s="5">
        <v>2.5</v>
      </c>
      <c r="D41" s="5">
        <v>7.0</v>
      </c>
      <c r="E41" s="5" t="s">
        <v>18</v>
      </c>
      <c r="F41" s="6">
        <v>46106.0</v>
      </c>
      <c r="G41" s="7"/>
      <c r="H41" s="7"/>
      <c r="I41" s="7"/>
    </row>
    <row r="42" ht="22.5" customHeight="1">
      <c r="A42" s="5" t="s">
        <v>80</v>
      </c>
      <c r="B42" s="5" t="s">
        <v>59</v>
      </c>
      <c r="C42" s="5">
        <v>10.0</v>
      </c>
      <c r="D42" s="5">
        <v>4.0</v>
      </c>
      <c r="E42" s="5" t="s">
        <v>35</v>
      </c>
      <c r="F42" s="6">
        <v>46108.0</v>
      </c>
      <c r="G42" s="7"/>
      <c r="H42" s="7"/>
      <c r="I42" s="7"/>
    </row>
    <row r="43" ht="22.5" customHeight="1">
      <c r="A43" s="5" t="s">
        <v>81</v>
      </c>
      <c r="B43" s="5" t="s">
        <v>23</v>
      </c>
      <c r="C43" s="5">
        <v>7.0</v>
      </c>
      <c r="D43" s="5">
        <v>15.0</v>
      </c>
      <c r="E43" s="5" t="s">
        <v>29</v>
      </c>
      <c r="F43" s="6">
        <v>46110.0</v>
      </c>
      <c r="G43" s="7"/>
      <c r="H43" s="7"/>
      <c r="I43" s="7"/>
    </row>
    <row r="44" ht="22.5" customHeight="1">
      <c r="A44" s="5" t="s">
        <v>82</v>
      </c>
      <c r="B44" s="5" t="s">
        <v>17</v>
      </c>
      <c r="C44" s="9"/>
      <c r="D44" s="5">
        <v>8.0</v>
      </c>
      <c r="E44" s="5" t="s">
        <v>12</v>
      </c>
      <c r="F44" s="6">
        <v>46112.0</v>
      </c>
      <c r="G44" s="7"/>
      <c r="H44" s="7"/>
      <c r="I44" s="7"/>
    </row>
    <row r="45">
      <c r="B45" s="10"/>
      <c r="C45" s="10"/>
    </row>
    <row r="46">
      <c r="B46" s="10"/>
      <c r="C46" s="10"/>
      <c r="D46" s="10"/>
    </row>
    <row r="47">
      <c r="B47" s="10"/>
      <c r="C47" s="10"/>
      <c r="D47" s="10"/>
    </row>
    <row r="48">
      <c r="B48" s="10"/>
      <c r="C48" s="10"/>
      <c r="D48" s="10"/>
    </row>
    <row r="49">
      <c r="B49" s="10"/>
      <c r="C49" s="10"/>
      <c r="D49" s="10"/>
    </row>
    <row r="50">
      <c r="B50" s="10"/>
      <c r="C50" s="10"/>
      <c r="D50" s="10"/>
    </row>
    <row r="51">
      <c r="B51" s="10"/>
      <c r="C51" s="10"/>
      <c r="D51" s="10"/>
    </row>
    <row r="52">
      <c r="B52" s="10"/>
      <c r="C52" s="10"/>
      <c r="D52" s="10"/>
    </row>
    <row r="53">
      <c r="B53" s="10"/>
      <c r="C53" s="10"/>
      <c r="D53" s="10"/>
    </row>
    <row r="54">
      <c r="B54" s="10"/>
      <c r="C54" s="10"/>
      <c r="D54" s="10"/>
    </row>
    <row r="55">
      <c r="B55" s="10"/>
      <c r="C55" s="10"/>
      <c r="D55" s="10"/>
    </row>
    <row r="56">
      <c r="B56" s="10"/>
      <c r="C56" s="10"/>
      <c r="D56" s="10"/>
    </row>
    <row r="57">
      <c r="B57" s="10"/>
      <c r="C57" s="10"/>
      <c r="D57" s="10"/>
    </row>
    <row r="58">
      <c r="B58" s="10"/>
      <c r="C58" s="10"/>
      <c r="D58" s="10"/>
    </row>
    <row r="59">
      <c r="B59" s="10"/>
      <c r="C59" s="10"/>
      <c r="D59" s="10"/>
    </row>
    <row r="60">
      <c r="B60" s="10"/>
      <c r="C60" s="10"/>
      <c r="D60" s="10"/>
    </row>
    <row r="61">
      <c r="B61" s="10"/>
      <c r="C61" s="10"/>
      <c r="D61" s="10"/>
    </row>
    <row r="62">
      <c r="B62" s="10"/>
      <c r="C62" s="10"/>
      <c r="D62" s="10"/>
    </row>
    <row r="63">
      <c r="B63" s="10"/>
      <c r="C63" s="10"/>
      <c r="D63" s="10"/>
    </row>
    <row r="64">
      <c r="B64" s="10"/>
      <c r="C64" s="10"/>
      <c r="D64" s="10"/>
    </row>
    <row r="65">
      <c r="B65" s="10"/>
      <c r="C65" s="10"/>
      <c r="D65" s="10"/>
    </row>
    <row r="66">
      <c r="B66" s="10"/>
      <c r="C66" s="10"/>
      <c r="D66" s="10"/>
    </row>
    <row r="67">
      <c r="B67" s="10"/>
      <c r="C67" s="10"/>
      <c r="D67" s="10"/>
    </row>
    <row r="68">
      <c r="B68" s="10"/>
      <c r="C68" s="10"/>
      <c r="D68" s="10"/>
    </row>
    <row r="69">
      <c r="B69" s="10"/>
      <c r="C69" s="10"/>
      <c r="D69" s="10"/>
    </row>
    <row r="70">
      <c r="B70" s="10"/>
      <c r="C70" s="10"/>
      <c r="D70" s="10"/>
    </row>
    <row r="71">
      <c r="B71" s="10"/>
      <c r="C71" s="10"/>
      <c r="D71" s="10"/>
    </row>
    <row r="72">
      <c r="B72" s="10"/>
      <c r="C72" s="10"/>
      <c r="D72" s="10"/>
    </row>
    <row r="73">
      <c r="B73" s="10"/>
      <c r="C73" s="10"/>
      <c r="D73" s="10"/>
    </row>
    <row r="74">
      <c r="B74" s="10"/>
      <c r="C74" s="10"/>
      <c r="D74" s="10"/>
    </row>
    <row r="75">
      <c r="B75" s="10"/>
      <c r="C75" s="10"/>
      <c r="D75" s="10"/>
    </row>
    <row r="76">
      <c r="B76" s="10"/>
      <c r="C76" s="10"/>
      <c r="D76" s="10"/>
    </row>
    <row r="77">
      <c r="B77" s="10"/>
      <c r="C77" s="10"/>
      <c r="D77" s="10"/>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row r="996">
      <c r="B996" s="10"/>
      <c r="C996" s="10"/>
      <c r="D996" s="10"/>
    </row>
    <row r="997">
      <c r="B997" s="10"/>
      <c r="C997" s="10"/>
      <c r="D997" s="10"/>
    </row>
    <row r="998">
      <c r="B998" s="10"/>
      <c r="C998" s="10"/>
      <c r="D998" s="10"/>
    </row>
    <row r="999">
      <c r="B999" s="10"/>
      <c r="C999" s="10"/>
      <c r="D999" s="10"/>
    </row>
    <row r="1000">
      <c r="B1000" s="10"/>
      <c r="C1000" s="10"/>
      <c r="D1000" s="10"/>
    </row>
    <row r="1001">
      <c r="B1001" s="10"/>
      <c r="C1001" s="10"/>
      <c r="D1001" s="10"/>
    </row>
    <row r="1002">
      <c r="B1002" s="10"/>
      <c r="C1002" s="10"/>
      <c r="D1002" s="10"/>
    </row>
    <row r="1003">
      <c r="B1003" s="10"/>
      <c r="C1003" s="10"/>
      <c r="D1003" s="10"/>
    </row>
  </sheetData>
  <mergeCells count="1">
    <mergeCell ref="A2:F2"/>
  </mergeCells>
  <dataValidations>
    <dataValidation type="custom" allowBlank="1" showDropDown="1" sqref="F4:F44">
      <formula1>OR(NOT(ISERROR(DATEVALUE(F4))), AND(ISNUMBER(F4), LEFT(CELL("format", F4))="D"))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63"/>
    <col customWidth="1" min="2" max="2" width="13.88"/>
    <col customWidth="1" min="3" max="3" width="24.0"/>
    <col customWidth="1" min="4" max="4" width="11.75"/>
    <col customWidth="1" min="5" max="5" width="14.5"/>
    <col customWidth="1" min="6" max="6" width="12.38"/>
    <col customWidth="1" min="7" max="7" width="16.75"/>
    <col customWidth="1" min="9" max="9" width="16.63"/>
    <col customWidth="1" min="10" max="10" width="41.88"/>
  </cols>
  <sheetData>
    <row r="1">
      <c r="A1" s="11" t="s">
        <v>83</v>
      </c>
      <c r="B1" s="12"/>
      <c r="C1" s="12"/>
      <c r="D1" s="12"/>
      <c r="E1" s="12"/>
      <c r="F1" s="12"/>
      <c r="G1" s="13"/>
      <c r="H1" s="14"/>
      <c r="I1" s="14"/>
      <c r="J1" s="14"/>
    </row>
    <row r="2">
      <c r="A2" s="12"/>
      <c r="H2" s="14"/>
      <c r="I2" s="14"/>
      <c r="J2" s="14"/>
    </row>
    <row r="3" ht="22.5" customHeight="1">
      <c r="A3" s="15" t="s">
        <v>1</v>
      </c>
      <c r="B3" s="15" t="s">
        <v>2</v>
      </c>
      <c r="C3" s="15" t="s">
        <v>84</v>
      </c>
      <c r="D3" s="15" t="s">
        <v>3</v>
      </c>
      <c r="E3" s="15" t="s">
        <v>85</v>
      </c>
      <c r="F3" s="15" t="s">
        <v>4</v>
      </c>
      <c r="G3" s="15" t="s">
        <v>86</v>
      </c>
      <c r="H3" s="15" t="s">
        <v>5</v>
      </c>
      <c r="I3" s="15" t="s">
        <v>6</v>
      </c>
      <c r="J3" s="16" t="s">
        <v>87</v>
      </c>
    </row>
    <row r="4" ht="22.5" customHeight="1">
      <c r="A4" s="17" t="str">
        <f>PROPER(TRIM(Raw_Data!A4))</f>
        <v>Doggie Chew Bone</v>
      </c>
      <c r="B4" s="18" t="str">
        <f>PROPER(TRIM(Raw_Data!B4))</f>
        <v>Chew Toys</v>
      </c>
      <c r="C4" s="19" t="str">
        <f t="shared" ref="C4:C44" si="1">IF(B4="Toy","Toys",
IF(B4="Toys","Toys",
IF(B4="Chew","Toys",
IF(B4="Chew Toys","Toys",
IF(B4="Treats","Treats",
IF(B4="Snacks","Treats",
IF(B4="Food","Food",
IF(B4="Leash","Walking",
IF(B4="Collar","Walking",
IF(B4="Harness","Walking",
IF(B4="Bed","Comfort",
IF(B4="Blanket","Comfort",
IF(B4="Shampoo","Grooming",
IF(B4="Toothpaste","Grooming",
IF(B4="Clippers","Grooming",
IF(B4="Grooming","Grooming",
IF(B4="Carrier","Accessories",
IF(B4="Jacket","Accessories",
IF(B4="Hat","Accessories",
IF(B4="Sweater","Accessories",
IF(B4="Raincoat","Accessories",
B4)))))))))))))))))))))</f>
        <v>Toys</v>
      </c>
      <c r="D4" s="19">
        <f>VALUE(SUBSTITUTE(TRIM(Raw_Data!C4), "$",""))</f>
        <v>12.99</v>
      </c>
      <c r="E4" s="18" t="str">
        <f>IF(C2="N/A","N/A",
IF(C2&lt;=10,"0-10",
IF(C2&lt;=20,"10-20",
IF(C2&lt;=30,"20-30","30+"))))</f>
        <v>0-10</v>
      </c>
      <c r="F4" s="18">
        <f>VALUE(TRIM(Raw_Data!D4))</f>
        <v>5</v>
      </c>
      <c r="G4" s="18" t="str">
        <f>IF(E2&lt;=5,"1-5",
IF(E2&lt;=10,"6-10",
IF(E2&lt;=15,"11-15","16+")))</f>
        <v>1-5</v>
      </c>
      <c r="H4" s="18" t="str">
        <f>PROPER(TRIM(Raw_Data!E4))</f>
        <v>Happypaws</v>
      </c>
      <c r="I4" s="20">
        <f>DATEVALUE(TRIM(Raw_Data!F4))</f>
        <v>46024</v>
      </c>
      <c r="J4" s="21" t="s">
        <v>88</v>
      </c>
    </row>
    <row r="5" ht="22.5" customHeight="1">
      <c r="A5" s="17" t="str">
        <f>PROPER(TRIM(Raw_Data!A5))</f>
        <v>Puppy Leash</v>
      </c>
      <c r="B5" s="18" t="str">
        <f>PROPER(TRIM(Raw_Data!B5))</f>
        <v>Leash</v>
      </c>
      <c r="C5" s="19" t="str">
        <f t="shared" si="1"/>
        <v>Walking</v>
      </c>
      <c r="D5" s="19">
        <f>VALUE(SUBSTITUTE(TRIM(Raw_Data!C5), "$",""))</f>
        <v>7.5</v>
      </c>
      <c r="E5" s="18" t="str">
        <f t="shared" ref="E5:E44" si="2">IF(D3="N/A","N/A",
IF(D3&lt;=10,"0-10",
IF(D3&lt;=20,"10-20",
IF(D3&lt;=30,"20-30","30+"))))</f>
        <v>30+</v>
      </c>
      <c r="F5" s="18">
        <f>VALUE(TRIM(Raw_Data!D5))</f>
        <v>10</v>
      </c>
      <c r="G5" s="18" t="str">
        <f t="shared" ref="G5:G44" si="3">IF(F3&lt;=5,"1-5",
IF(F3&lt;=10,"6-10",
IF(F3&lt;=15,"11-15","16+")))</f>
        <v>16+</v>
      </c>
      <c r="H5" s="18" t="str">
        <f>PROPER(TRIM(Raw_Data!E5))</f>
        <v>Dogworld</v>
      </c>
      <c r="I5" s="20">
        <f>DATEVALUE(TRIM(Raw_Data!F5))</f>
        <v>46027</v>
      </c>
      <c r="J5" s="21" t="s">
        <v>88</v>
      </c>
    </row>
    <row r="6" ht="22.5" customHeight="1">
      <c r="A6" s="17" t="str">
        <f>PROPER(TRIM(Raw_Data!A6))</f>
        <v>Dog Food Bag</v>
      </c>
      <c r="B6" s="18" t="str">
        <f>PROPER(TRIM(Raw_Data!B6))</f>
        <v>Food</v>
      </c>
      <c r="C6" s="19" t="str">
        <f t="shared" si="1"/>
        <v>Food</v>
      </c>
      <c r="D6" s="19">
        <f>VALUE(SUBSTITUTE(TRIM(Raw_Data!C6), "$",""))</f>
        <v>45</v>
      </c>
      <c r="E6" s="18" t="str">
        <f t="shared" si="2"/>
        <v>10-20</v>
      </c>
      <c r="F6" s="18">
        <f>VALUE(TRIM(Raw_Data!D6))</f>
        <v>2</v>
      </c>
      <c r="G6" s="18" t="str">
        <f t="shared" si="3"/>
        <v>1-5</v>
      </c>
      <c r="H6" s="18" t="str">
        <f>PROPER(TRIM(Raw_Data!E6))</f>
        <v>Petco</v>
      </c>
      <c r="I6" s="20">
        <f>DATEVALUE(TRIM(Raw_Data!F6))</f>
        <v>46029</v>
      </c>
      <c r="J6" s="21" t="s">
        <v>88</v>
      </c>
    </row>
    <row r="7" ht="22.5" customHeight="1">
      <c r="A7" s="17" t="str">
        <f>PROPER(TRIM(Raw_Data!A7))</f>
        <v>Dog Collar Large</v>
      </c>
      <c r="B7" s="18" t="str">
        <f>PROPER(TRIM(Raw_Data!B7))</f>
        <v>Collar</v>
      </c>
      <c r="C7" s="19" t="str">
        <f t="shared" si="1"/>
        <v>Walking</v>
      </c>
      <c r="D7" s="19">
        <f>VALUE(SUBSTITUTE(TRIM(Raw_Data!C7), "$",""))</f>
        <v>14.99</v>
      </c>
      <c r="E7" s="18" t="str">
        <f t="shared" si="2"/>
        <v>0-10</v>
      </c>
      <c r="F7" s="18">
        <f>VALUE(TRIM(Raw_Data!D7))</f>
        <v>8</v>
      </c>
      <c r="G7" s="18" t="str">
        <f t="shared" si="3"/>
        <v>6-10</v>
      </c>
      <c r="H7" s="18" t="str">
        <f>PROPER(TRIM(Raw_Data!E7))</f>
        <v>Paws N Claws</v>
      </c>
      <c r="I7" s="20">
        <f>DATEVALUE(TRIM(Raw_Data!F7))</f>
        <v>46032</v>
      </c>
      <c r="J7" s="21" t="s">
        <v>88</v>
      </c>
    </row>
    <row r="8" ht="22.5" customHeight="1">
      <c r="A8" s="17" t="str">
        <f>PROPER(TRIM(Raw_Data!A8))</f>
        <v>Dog Toy Squeaky</v>
      </c>
      <c r="B8" s="18" t="str">
        <f>PROPER(TRIM(Raw_Data!B8))</f>
        <v>Toy</v>
      </c>
      <c r="C8" s="19" t="str">
        <f t="shared" si="1"/>
        <v>Toys</v>
      </c>
      <c r="D8" s="19">
        <f>VALUE(SUBSTITUTE(TRIM(Raw_Data!C8), "$",""))</f>
        <v>8.5</v>
      </c>
      <c r="E8" s="18" t="str">
        <f t="shared" si="2"/>
        <v>30+</v>
      </c>
      <c r="F8" s="18">
        <f>VALUE(TRIM(Raw_Data!D8))</f>
        <v>12</v>
      </c>
      <c r="G8" s="18" t="str">
        <f t="shared" si="3"/>
        <v>1-5</v>
      </c>
      <c r="H8" s="18" t="str">
        <f>PROPER(TRIM(Raw_Data!E8))</f>
        <v>Doggiemart</v>
      </c>
      <c r="I8" s="20">
        <f>DATEVALUE(TRIM(Raw_Data!F8))</f>
        <v>46034</v>
      </c>
      <c r="J8" s="21" t="s">
        <v>88</v>
      </c>
    </row>
    <row r="9" ht="22.5" customHeight="1">
      <c r="A9" s="21" t="str">
        <f>PROPER(TRIM(Raw_Data!A9))</f>
        <v>Puppy Treats</v>
      </c>
      <c r="B9" s="18" t="str">
        <f>PROPER(TRIM(Raw_Data!B9))</f>
        <v>Treats</v>
      </c>
      <c r="C9" s="19" t="str">
        <f t="shared" si="1"/>
        <v>Treats</v>
      </c>
      <c r="D9" s="19">
        <f>VALUE(SUBSTITUTE(TRIM(Raw_Data!C9), "$",""))</f>
        <v>6.25</v>
      </c>
      <c r="E9" s="18" t="str">
        <f t="shared" si="2"/>
        <v>10-20</v>
      </c>
      <c r="F9" s="18">
        <f>VALUE(TRIM(Raw_Data!D9))</f>
        <v>15</v>
      </c>
      <c r="G9" s="18" t="str">
        <f t="shared" si="3"/>
        <v>6-10</v>
      </c>
      <c r="H9" s="18" t="str">
        <f>PROPER(TRIM(Raw_Data!E9))</f>
        <v>Furever</v>
      </c>
      <c r="I9" s="20">
        <f>DATEVALUE(TRIM(Raw_Data!F9))</f>
        <v>46037</v>
      </c>
      <c r="J9" s="21" t="s">
        <v>88</v>
      </c>
    </row>
    <row r="10" ht="22.5" customHeight="1">
      <c r="A10" s="17" t="str">
        <f>PROPER(TRIM(Raw_Data!A10))</f>
        <v>Dog Shampoo</v>
      </c>
      <c r="B10" s="18" t="str">
        <f>PROPER(TRIM(Raw_Data!B10))</f>
        <v>Shampoo</v>
      </c>
      <c r="C10" s="19" t="str">
        <f t="shared" si="1"/>
        <v>Grooming</v>
      </c>
      <c r="D10" s="19">
        <f>VALUE(SUBSTITUTE(TRIM(Raw_Data!C10), "$",""))</f>
        <v>10</v>
      </c>
      <c r="E10" s="18" t="str">
        <f t="shared" si="2"/>
        <v>0-10</v>
      </c>
      <c r="F10" s="18">
        <f>VALUE(TRIM(Raw_Data!D10))</f>
        <v>7</v>
      </c>
      <c r="G10" s="18" t="str">
        <f t="shared" si="3"/>
        <v>11-15</v>
      </c>
      <c r="H10" s="18" t="str">
        <f>PROPER(TRIM(Raw_Data!E10))</f>
        <v>Puppysupply</v>
      </c>
      <c r="I10" s="20">
        <f>DATEVALUE(TRIM(Raw_Data!F10))</f>
        <v>46040</v>
      </c>
      <c r="J10" s="21" t="s">
        <v>88</v>
      </c>
    </row>
    <row r="11" ht="22.5" customHeight="1">
      <c r="A11" s="17" t="str">
        <f>PROPER(TRIM(Raw_Data!A11))</f>
        <v>Chew Toy</v>
      </c>
      <c r="B11" s="18" t="str">
        <f>PROPER(TRIM(Raw_Data!B11))</f>
        <v>Toy</v>
      </c>
      <c r="C11" s="19" t="str">
        <f t="shared" si="1"/>
        <v>Toys</v>
      </c>
      <c r="D11" s="19">
        <f>VALUE(SUBSTITUTE(TRIM(Raw_Data!C11), "$",""))</f>
        <v>7.75</v>
      </c>
      <c r="E11" s="18" t="str">
        <f t="shared" si="2"/>
        <v>0-10</v>
      </c>
      <c r="F11" s="18">
        <f>VALUE(TRIM(Raw_Data!D11))</f>
        <v>6</v>
      </c>
      <c r="G11" s="18" t="str">
        <f t="shared" si="3"/>
        <v>11-15</v>
      </c>
      <c r="H11" s="18" t="str">
        <f>PROPER(TRIM(Raw_Data!E11))</f>
        <v>Pethub</v>
      </c>
      <c r="I11" s="20">
        <f>DATEVALUE(TRIM(Raw_Data!F11))</f>
        <v>46042</v>
      </c>
      <c r="J11" s="21" t="s">
        <v>88</v>
      </c>
    </row>
    <row r="12" ht="22.5" customHeight="1">
      <c r="A12" s="17" t="str">
        <f>PROPER(TRIM(Raw_Data!A12))</f>
        <v>Dog Harness</v>
      </c>
      <c r="B12" s="18" t="str">
        <f>PROPER(TRIM(Raw_Data!B12))</f>
        <v>Harness</v>
      </c>
      <c r="C12" s="19" t="str">
        <f t="shared" si="1"/>
        <v>Walking</v>
      </c>
      <c r="D12" s="19">
        <f>VALUE(SUBSTITUTE(TRIM(Raw_Data!C12), "$",""))</f>
        <v>15.99</v>
      </c>
      <c r="E12" s="18" t="str">
        <f t="shared" si="2"/>
        <v>0-10</v>
      </c>
      <c r="F12" s="18">
        <f>VALUE(TRIM(Raw_Data!D12))</f>
        <v>3</v>
      </c>
      <c r="G12" s="18" t="str">
        <f t="shared" si="3"/>
        <v>6-10</v>
      </c>
      <c r="H12" s="18" t="str">
        <f>PROPER(TRIM(Raw_Data!E12))</f>
        <v>Barkshop</v>
      </c>
      <c r="I12" s="20">
        <f>DATEVALUE(TRIM(Raw_Data!F12))</f>
        <v>46044</v>
      </c>
      <c r="J12" s="21" t="s">
        <v>88</v>
      </c>
    </row>
    <row r="13" ht="22.5" customHeight="1">
      <c r="A13" s="17" t="str">
        <f>PROPER(TRIM(Raw_Data!A13))</f>
        <v>Dog Bed Soft</v>
      </c>
      <c r="B13" s="18" t="str">
        <f>PROPER(TRIM(Raw_Data!B13))</f>
        <v>Bed</v>
      </c>
      <c r="C13" s="19" t="str">
        <f t="shared" si="1"/>
        <v>Comfort</v>
      </c>
      <c r="D13" s="19">
        <f>VALUE(SUBSTITUTE(TRIM(Raw_Data!C13), "$",""))</f>
        <v>35</v>
      </c>
      <c r="E13" s="18" t="str">
        <f t="shared" si="2"/>
        <v>0-10</v>
      </c>
      <c r="F13" s="18">
        <f>VALUE(TRIM(Raw_Data!D13))</f>
        <v>4</v>
      </c>
      <c r="G13" s="18" t="str">
        <f t="shared" si="3"/>
        <v>6-10</v>
      </c>
      <c r="H13" s="18" t="str">
        <f>PROPER(TRIM(Raw_Data!E13))</f>
        <v>Caninecorner</v>
      </c>
      <c r="I13" s="20">
        <f>DATEVALUE(TRIM(Raw_Data!F13))</f>
        <v>46047</v>
      </c>
      <c r="J13" s="21" t="s">
        <v>88</v>
      </c>
    </row>
    <row r="14" ht="22.5" customHeight="1">
      <c r="A14" s="17" t="str">
        <f>PROPER(TRIM(Raw_Data!A14))</f>
        <v>Dog Toothpaste</v>
      </c>
      <c r="B14" s="18" t="str">
        <f>PROPER(TRIM(Raw_Data!B14))</f>
        <v>Toothpaste</v>
      </c>
      <c r="C14" s="19" t="str">
        <f t="shared" si="1"/>
        <v>Grooming</v>
      </c>
      <c r="D14" s="19">
        <f>VALUE(SUBSTITUTE(TRIM(Raw_Data!C14), "$",""))</f>
        <v>5</v>
      </c>
      <c r="E14" s="18" t="str">
        <f t="shared" si="2"/>
        <v>10-20</v>
      </c>
      <c r="F14" s="18">
        <f>VALUE(TRIM(Raw_Data!D14))</f>
        <v>10</v>
      </c>
      <c r="G14" s="18" t="str">
        <f t="shared" si="3"/>
        <v>1-5</v>
      </c>
      <c r="H14" s="18" t="str">
        <f>PROPER(TRIM(Raw_Data!E14))</f>
        <v>Pupstore</v>
      </c>
      <c r="I14" s="20">
        <f>DATEVALUE(TRIM(Raw_Data!F14))</f>
        <v>46050</v>
      </c>
      <c r="J14" s="21" t="s">
        <v>88</v>
      </c>
    </row>
    <row r="15" ht="22.5" customHeight="1">
      <c r="A15" s="17" t="str">
        <f>PROPER(TRIM(Raw_Data!A15))</f>
        <v>Bone Toy</v>
      </c>
      <c r="B15" s="18" t="str">
        <f>PROPER(TRIM(Raw_Data!B15))</f>
        <v>Toy</v>
      </c>
      <c r="C15" s="19" t="str">
        <f t="shared" si="1"/>
        <v>Toys</v>
      </c>
      <c r="D15" s="19">
        <f>VALUE(SUBSTITUTE(TRIM(Raw_Data!C15), "$",""))</f>
        <v>6</v>
      </c>
      <c r="E15" s="18" t="str">
        <f t="shared" si="2"/>
        <v>30+</v>
      </c>
      <c r="F15" s="18">
        <f>VALUE(TRIM(Raw_Data!D15))</f>
        <v>9</v>
      </c>
      <c r="G15" s="18" t="str">
        <f t="shared" si="3"/>
        <v>1-5</v>
      </c>
      <c r="H15" s="18" t="str">
        <f>PROPER(TRIM(Raw_Data!E15))</f>
        <v>Doggiemart</v>
      </c>
      <c r="I15" s="20">
        <f>DATEVALUE(TRIM(Raw_Data!F15))</f>
        <v>46052</v>
      </c>
      <c r="J15" s="21" t="s">
        <v>88</v>
      </c>
    </row>
    <row r="16" ht="22.5" customHeight="1">
      <c r="A16" s="17" t="str">
        <f>PROPER(TRIM(Raw_Data!A16))</f>
        <v>Puppy Blanket</v>
      </c>
      <c r="B16" s="18" t="str">
        <f>PROPER(TRIM(Raw_Data!B16))</f>
        <v>Blanket</v>
      </c>
      <c r="C16" s="19" t="str">
        <f t="shared" si="1"/>
        <v>Comfort</v>
      </c>
      <c r="D16" s="19">
        <f>VALUE(SUBSTITUTE(TRIM(Raw_Data!C16), "$",""))</f>
        <v>20</v>
      </c>
      <c r="E16" s="18" t="str">
        <f t="shared" si="2"/>
        <v>0-10</v>
      </c>
      <c r="F16" s="18">
        <f>VALUE(TRIM(Raw_Data!D16))</f>
        <v>5</v>
      </c>
      <c r="G16" s="18" t="str">
        <f t="shared" si="3"/>
        <v>6-10</v>
      </c>
      <c r="H16" s="18" t="str">
        <f>PROPER(TRIM(Raw_Data!E16))</f>
        <v>Happypaws</v>
      </c>
      <c r="I16" s="20">
        <f>DATEVALUE(TRIM(Raw_Data!F16))</f>
        <v>46054</v>
      </c>
      <c r="J16" s="21" t="s">
        <v>88</v>
      </c>
    </row>
    <row r="17" ht="22.5" customHeight="1">
      <c r="A17" s="17" t="str">
        <f>PROPER(TRIM(Raw_Data!A17))</f>
        <v>Dog Jacket</v>
      </c>
      <c r="B17" s="18" t="str">
        <f>PROPER(TRIM(Raw_Data!B17))</f>
        <v>Jacket</v>
      </c>
      <c r="C17" s="19" t="str">
        <f t="shared" si="1"/>
        <v>Accessories</v>
      </c>
      <c r="D17" s="19">
        <f>VALUE(SUBSTITUTE(TRIM(Raw_Data!C17), "$",""))</f>
        <v>18.5</v>
      </c>
      <c r="E17" s="18" t="str">
        <f t="shared" si="2"/>
        <v>0-10</v>
      </c>
      <c r="F17" s="18">
        <f>VALUE(TRIM(Raw_Data!D17))</f>
        <v>2</v>
      </c>
      <c r="G17" s="18" t="str">
        <f t="shared" si="3"/>
        <v>6-10</v>
      </c>
      <c r="H17" s="18" t="str">
        <f>PROPER(TRIM(Raw_Data!E17))</f>
        <v>Petco</v>
      </c>
      <c r="I17" s="20">
        <f>DATEVALUE(TRIM(Raw_Data!F17))</f>
        <v>46056</v>
      </c>
      <c r="J17" s="21" t="s">
        <v>88</v>
      </c>
    </row>
    <row r="18" ht="22.5" customHeight="1">
      <c r="A18" s="17" t="str">
        <f>PROPER(TRIM(Raw_Data!A18))</f>
        <v>Squeaky Ball</v>
      </c>
      <c r="B18" s="18" t="str">
        <f>PROPER(TRIM(Raw_Data!B18))</f>
        <v>Toy</v>
      </c>
      <c r="C18" s="19" t="str">
        <f t="shared" si="1"/>
        <v>Toys</v>
      </c>
      <c r="D18" s="19">
        <f>VALUE(SUBSTITUTE(TRIM(Raw_Data!C18), "$",""))</f>
        <v>7</v>
      </c>
      <c r="E18" s="18" t="str">
        <f t="shared" si="2"/>
        <v>10-20</v>
      </c>
      <c r="F18" s="18">
        <f>VALUE(TRIM(Raw_Data!D18))</f>
        <v>11</v>
      </c>
      <c r="G18" s="18" t="str">
        <f t="shared" si="3"/>
        <v>1-5</v>
      </c>
      <c r="H18" s="18" t="str">
        <f>PROPER(TRIM(Raw_Data!E18))</f>
        <v>Barkshop</v>
      </c>
      <c r="I18" s="20">
        <f>DATEVALUE(TRIM(Raw_Data!F18))</f>
        <v>46058</v>
      </c>
      <c r="J18" s="21" t="s">
        <v>88</v>
      </c>
    </row>
    <row r="19" ht="22.5" customHeight="1">
      <c r="A19" s="17" t="str">
        <f>PROPER(TRIM(Raw_Data!A19))</f>
        <v>Dog Food Mini</v>
      </c>
      <c r="B19" s="18" t="str">
        <f>PROPER(TRIM(Raw_Data!B19))</f>
        <v>Food</v>
      </c>
      <c r="C19" s="19" t="str">
        <f t="shared" si="1"/>
        <v>Food</v>
      </c>
      <c r="D19" s="19">
        <f>VALUE(SUBSTITUTE(TRIM(Raw_Data!C19), "$",""))</f>
        <v>3.25</v>
      </c>
      <c r="E19" s="18" t="str">
        <f t="shared" si="2"/>
        <v>10-20</v>
      </c>
      <c r="F19" s="18">
        <f>VALUE(TRIM(Raw_Data!D19))</f>
        <v>8</v>
      </c>
      <c r="G19" s="18" t="str">
        <f t="shared" si="3"/>
        <v>1-5</v>
      </c>
      <c r="H19" s="18" t="str">
        <f>PROPER(TRIM(Raw_Data!E19))</f>
        <v>Paws N Claws</v>
      </c>
      <c r="I19" s="20">
        <f>DATEVALUE(TRIM(Raw_Data!F19))</f>
        <v>46060</v>
      </c>
      <c r="J19" s="21" t="s">
        <v>88</v>
      </c>
    </row>
    <row r="20" ht="22.5" customHeight="1">
      <c r="A20" s="17" t="str">
        <f>PROPER(TRIM(Raw_Data!A20))</f>
        <v>Dog Training Clicker</v>
      </c>
      <c r="B20" s="18" t="str">
        <f>PROPER(TRIM(Raw_Data!B20))</f>
        <v>Training</v>
      </c>
      <c r="C20" s="19" t="str">
        <f t="shared" si="1"/>
        <v>Training</v>
      </c>
      <c r="D20" s="19">
        <f>VALUE(SUBSTITUTE(TRIM(Raw_Data!C20), "$",""))</f>
        <v>2.5</v>
      </c>
      <c r="E20" s="18" t="str">
        <f t="shared" si="2"/>
        <v>0-10</v>
      </c>
      <c r="F20" s="18">
        <f>VALUE(TRIM(Raw_Data!D20))</f>
        <v>6</v>
      </c>
      <c r="G20" s="18" t="str">
        <f t="shared" si="3"/>
        <v>11-15</v>
      </c>
      <c r="H20" s="18" t="str">
        <f>PROPER(TRIM(Raw_Data!E20))</f>
        <v>Pethub</v>
      </c>
      <c r="I20" s="20">
        <f>DATEVALUE(TRIM(Raw_Data!F20))</f>
        <v>46063</v>
      </c>
      <c r="J20" s="21" t="s">
        <v>88</v>
      </c>
    </row>
    <row r="21" ht="22.5" customHeight="1">
      <c r="A21" s="17" t="str">
        <f>PROPER(TRIM(Raw_Data!A21))</f>
        <v>Chew Treat</v>
      </c>
      <c r="B21" s="18" t="str">
        <f>PROPER(TRIM(Raw_Data!B21))</f>
        <v>Treats</v>
      </c>
      <c r="C21" s="19" t="str">
        <f t="shared" si="1"/>
        <v>Treats</v>
      </c>
      <c r="D21" s="19">
        <f>VALUE(SUBSTITUTE(TRIM(Raw_Data!C21), "$",""))</f>
        <v>4</v>
      </c>
      <c r="E21" s="18" t="str">
        <f t="shared" si="2"/>
        <v>0-10</v>
      </c>
      <c r="F21" s="18">
        <f>VALUE(TRIM(Raw_Data!D21))</f>
        <v>14</v>
      </c>
      <c r="G21" s="18" t="str">
        <f t="shared" si="3"/>
        <v>6-10</v>
      </c>
      <c r="H21" s="18" t="str">
        <f>PROPER(TRIM(Raw_Data!E21))</f>
        <v>Furever</v>
      </c>
      <c r="I21" s="20">
        <f>DATEVALUE(TRIM(Raw_Data!F21))</f>
        <v>46065</v>
      </c>
      <c r="J21" s="21" t="s">
        <v>88</v>
      </c>
    </row>
    <row r="22" ht="22.5" customHeight="1">
      <c r="A22" s="17" t="str">
        <f>PROPER(TRIM(Raw_Data!A22))</f>
        <v>Dog Carrier Small</v>
      </c>
      <c r="B22" s="18" t="str">
        <f>PROPER(TRIM(Raw_Data!B22))</f>
        <v>Carrier</v>
      </c>
      <c r="C22" s="19" t="str">
        <f t="shared" si="1"/>
        <v>Accessories</v>
      </c>
      <c r="D22" s="19">
        <f>VALUE(SUBSTITUTE(TRIM(Raw_Data!C22), "$",""))</f>
        <v>22</v>
      </c>
      <c r="E22" s="18" t="str">
        <f t="shared" si="2"/>
        <v>0-10</v>
      </c>
      <c r="F22" s="18">
        <f>VALUE(TRIM(Raw_Data!D22))</f>
        <v>1</v>
      </c>
      <c r="G22" s="18" t="str">
        <f t="shared" si="3"/>
        <v>6-10</v>
      </c>
      <c r="H22" s="18" t="str">
        <f>PROPER(TRIM(Raw_Data!E22))</f>
        <v>Dogworld</v>
      </c>
      <c r="I22" s="20">
        <f>DATEVALUE(TRIM(Raw_Data!F22))</f>
        <v>46067</v>
      </c>
      <c r="J22" s="21" t="s">
        <v>88</v>
      </c>
    </row>
    <row r="23" ht="22.5" customHeight="1">
      <c r="A23" s="17" t="str">
        <f>PROPER(TRIM(Raw_Data!A23))</f>
        <v>Puppy Pad</v>
      </c>
      <c r="B23" s="18" t="str">
        <f>PROPER(TRIM(Raw_Data!B23))</f>
        <v>Pads</v>
      </c>
      <c r="C23" s="19" t="str">
        <f t="shared" si="1"/>
        <v>Pads</v>
      </c>
      <c r="D23" s="19">
        <f>VALUE(SUBSTITUTE(TRIM(Raw_Data!C23), "$",""))</f>
        <v>1.5</v>
      </c>
      <c r="E23" s="18" t="str">
        <f t="shared" si="2"/>
        <v>0-10</v>
      </c>
      <c r="F23" s="18">
        <f>VALUE(TRIM(Raw_Data!D23))</f>
        <v>20</v>
      </c>
      <c r="G23" s="18" t="str">
        <f t="shared" si="3"/>
        <v>11-15</v>
      </c>
      <c r="H23" s="18" t="str">
        <f>PROPER(TRIM(Raw_Data!E23))</f>
        <v>Puppysupply</v>
      </c>
      <c r="I23" s="20">
        <f>DATEVALUE(TRIM(Raw_Data!F23))</f>
        <v>46069</v>
      </c>
      <c r="J23" s="21" t="s">
        <v>88</v>
      </c>
    </row>
    <row r="24" ht="22.5" customHeight="1">
      <c r="A24" s="17" t="str">
        <f>PROPER(TRIM(Raw_Data!A24))</f>
        <v>Dog Grooming Brush</v>
      </c>
      <c r="B24" s="18" t="str">
        <f>PROPER(TRIM(Raw_Data!B24))</f>
        <v>Grooming</v>
      </c>
      <c r="C24" s="19" t="str">
        <f t="shared" si="1"/>
        <v>Grooming</v>
      </c>
      <c r="D24" s="19">
        <f>VALUE(SUBSTITUTE(TRIM(Raw_Data!C24), "$",""))</f>
        <v>9</v>
      </c>
      <c r="E24" s="18" t="str">
        <f t="shared" si="2"/>
        <v>20-30</v>
      </c>
      <c r="F24" s="18">
        <f>VALUE(TRIM(Raw_Data!D24))</f>
        <v>5</v>
      </c>
      <c r="G24" s="18" t="str">
        <f t="shared" si="3"/>
        <v>1-5</v>
      </c>
      <c r="H24" s="18" t="str">
        <f>PROPER(TRIM(Raw_Data!E24))</f>
        <v>Caninecorner</v>
      </c>
      <c r="I24" s="20">
        <f>DATEVALUE(TRIM(Raw_Data!F24))</f>
        <v>46071</v>
      </c>
      <c r="J24" s="21" t="s">
        <v>88</v>
      </c>
    </row>
    <row r="25" ht="22.5" customHeight="1">
      <c r="A25" s="17" t="str">
        <f>PROPER(TRIM(Raw_Data!A25))</f>
        <v>Dog Bowl Stainless</v>
      </c>
      <c r="B25" s="18" t="str">
        <f>PROPER(TRIM(Raw_Data!B25))</f>
        <v>Bowl</v>
      </c>
      <c r="C25" s="19" t="str">
        <f t="shared" si="1"/>
        <v>Bowl</v>
      </c>
      <c r="D25" s="19">
        <f>VALUE(SUBSTITUTE(TRIM(Raw_Data!C25), "$",""))</f>
        <v>25</v>
      </c>
      <c r="E25" s="18" t="str">
        <f t="shared" si="2"/>
        <v>0-10</v>
      </c>
      <c r="F25" s="18">
        <f>VALUE(TRIM(Raw_Data!D25))</f>
        <v>12</v>
      </c>
      <c r="G25" s="18" t="str">
        <f t="shared" si="3"/>
        <v>16+</v>
      </c>
      <c r="H25" s="18" t="str">
        <f>PROPER(TRIM(Raw_Data!E25))</f>
        <v>Doggiemart</v>
      </c>
      <c r="I25" s="20">
        <f>DATEVALUE(TRIM(Raw_Data!F25))</f>
        <v>46073</v>
      </c>
      <c r="J25" s="21" t="s">
        <v>88</v>
      </c>
    </row>
    <row r="26" ht="22.5" customHeight="1">
      <c r="A26" s="17" t="str">
        <f>PROPER(TRIM(Raw_Data!A26))</f>
        <v>Dog Treat Jar</v>
      </c>
      <c r="B26" s="18" t="str">
        <f>PROPER(TRIM(Raw_Data!B26))</f>
        <v>Treats</v>
      </c>
      <c r="C26" s="19" t="str">
        <f t="shared" si="1"/>
        <v>Treats</v>
      </c>
      <c r="D26" s="19">
        <f>VALUE(SUBSTITUTE(TRIM(Raw_Data!C26), "$",""))</f>
        <v>3</v>
      </c>
      <c r="E26" s="18" t="str">
        <f t="shared" si="2"/>
        <v>0-10</v>
      </c>
      <c r="F26" s="18">
        <f>VALUE(TRIM(Raw_Data!D26))</f>
        <v>10</v>
      </c>
      <c r="G26" s="18" t="str">
        <f t="shared" si="3"/>
        <v>1-5</v>
      </c>
      <c r="H26" s="18" t="str">
        <f>PROPER(TRIM(Raw_Data!E26))</f>
        <v>Happypaws</v>
      </c>
      <c r="I26" s="20">
        <f>DATEVALUE(TRIM(Raw_Data!F26))</f>
        <v>46075</v>
      </c>
      <c r="J26" s="21" t="s">
        <v>88</v>
      </c>
    </row>
    <row r="27" ht="22.5" customHeight="1">
      <c r="A27" s="17" t="str">
        <f>PROPER(TRIM(Raw_Data!A27))</f>
        <v>Puppy Chew Rope</v>
      </c>
      <c r="B27" s="18" t="str">
        <f>PROPER(TRIM(Raw_Data!B27))</f>
        <v>Chew</v>
      </c>
      <c r="C27" s="19" t="str">
        <f t="shared" si="1"/>
        <v>Toys</v>
      </c>
      <c r="D27" s="19">
        <f>VALUE(SUBSTITUTE(TRIM(Raw_Data!C27), "$",""))</f>
        <v>5.5</v>
      </c>
      <c r="E27" s="18" t="str">
        <f t="shared" si="2"/>
        <v>20-30</v>
      </c>
      <c r="F27" s="18">
        <f>VALUE(TRIM(Raw_Data!D27))</f>
        <v>7</v>
      </c>
      <c r="G27" s="18" t="str">
        <f t="shared" si="3"/>
        <v>11-15</v>
      </c>
      <c r="H27" s="18" t="str">
        <f>PROPER(TRIM(Raw_Data!E27))</f>
        <v>Petco</v>
      </c>
      <c r="I27" s="20">
        <f>DATEVALUE(TRIM(Raw_Data!F27))</f>
        <v>46077</v>
      </c>
      <c r="J27" s="21" t="s">
        <v>88</v>
      </c>
    </row>
    <row r="28" ht="22.5" customHeight="1">
      <c r="A28" s="17" t="str">
        <f>PROPER(TRIM(Raw_Data!A28))</f>
        <v>Dog Leash Retractable</v>
      </c>
      <c r="B28" s="18" t="str">
        <f>PROPER(TRIM(Raw_Data!B28))</f>
        <v>Leash</v>
      </c>
      <c r="C28" s="19" t="str">
        <f t="shared" si="1"/>
        <v>Walking</v>
      </c>
      <c r="D28" s="19">
        <f>VALUE(SUBSTITUTE(TRIM(Raw_Data!C28), "$",""))</f>
        <v>12</v>
      </c>
      <c r="E28" s="18" t="str">
        <f t="shared" si="2"/>
        <v>0-10</v>
      </c>
      <c r="F28" s="18">
        <f>VALUE(TRIM(Raw_Data!D28))</f>
        <v>8</v>
      </c>
      <c r="G28" s="18" t="str">
        <f t="shared" si="3"/>
        <v>6-10</v>
      </c>
      <c r="H28" s="18" t="str">
        <f>PROPER(TRIM(Raw_Data!E28))</f>
        <v>Barkshop</v>
      </c>
      <c r="I28" s="20">
        <f>DATEVALUE(TRIM(Raw_Data!F28))</f>
        <v>46079</v>
      </c>
      <c r="J28" s="21" t="s">
        <v>88</v>
      </c>
    </row>
    <row r="29" ht="22.5" customHeight="1">
      <c r="A29" s="17" t="str">
        <f>PROPER(TRIM(Raw_Data!A29))</f>
        <v>Dog Sweater</v>
      </c>
      <c r="B29" s="18" t="str">
        <f>PROPER(TRIM(Raw_Data!B29))</f>
        <v>Sweater</v>
      </c>
      <c r="C29" s="19" t="str">
        <f t="shared" si="1"/>
        <v>Accessories</v>
      </c>
      <c r="D29" s="19">
        <f>VALUE(SUBSTITUTE(TRIM(Raw_Data!C29), "$",""))</f>
        <v>8.25</v>
      </c>
      <c r="E29" s="18" t="str">
        <f t="shared" si="2"/>
        <v>0-10</v>
      </c>
      <c r="F29" s="18">
        <f>VALUE(TRIM(Raw_Data!D29))</f>
        <v>5</v>
      </c>
      <c r="G29" s="18" t="str">
        <f t="shared" si="3"/>
        <v>6-10</v>
      </c>
      <c r="H29" s="18" t="str">
        <f>PROPER(TRIM(Raw_Data!E29))</f>
        <v>Furever</v>
      </c>
      <c r="I29" s="20">
        <f>DATEVALUE(TRIM(Raw_Data!F29))</f>
        <v>46081</v>
      </c>
      <c r="J29" s="21" t="s">
        <v>88</v>
      </c>
    </row>
    <row r="30" ht="22.5" customHeight="1">
      <c r="A30" s="17" t="str">
        <f>PROPER(TRIM(Raw_Data!A30))</f>
        <v>Dog Hat</v>
      </c>
      <c r="B30" s="18" t="str">
        <f>PROPER(TRIM(Raw_Data!B30))</f>
        <v>Hat</v>
      </c>
      <c r="C30" s="19" t="str">
        <f t="shared" si="1"/>
        <v>Accessories</v>
      </c>
      <c r="D30" s="19">
        <f>VALUE(SUBSTITUTE(TRIM(Raw_Data!C30), "$",""))</f>
        <v>15</v>
      </c>
      <c r="E30" s="18" t="str">
        <f t="shared" si="2"/>
        <v>10-20</v>
      </c>
      <c r="F30" s="18">
        <f>VALUE(TRIM(Raw_Data!D30))</f>
        <v>6</v>
      </c>
      <c r="G30" s="18" t="str">
        <f t="shared" si="3"/>
        <v>6-10</v>
      </c>
      <c r="H30" s="18" t="str">
        <f>PROPER(TRIM(Raw_Data!E30))</f>
        <v>Puppysupply</v>
      </c>
      <c r="I30" s="20">
        <f>DATEVALUE(TRIM(Raw_Data!F30))</f>
        <v>46082</v>
      </c>
      <c r="J30" s="21" t="s">
        <v>88</v>
      </c>
    </row>
    <row r="31" ht="22.5" customHeight="1">
      <c r="A31" s="17" t="str">
        <f>PROPER(TRIM(Raw_Data!A31))</f>
        <v>Dog Blanket</v>
      </c>
      <c r="B31" s="18" t="str">
        <f>PROPER(TRIM(Raw_Data!B31))</f>
        <v>Blanket</v>
      </c>
      <c r="C31" s="19" t="str">
        <f t="shared" si="1"/>
        <v>Comfort</v>
      </c>
      <c r="D31" s="19">
        <f>VALUE(SUBSTITUTE(TRIM(Raw_Data!C31), "$",""))</f>
        <v>30</v>
      </c>
      <c r="E31" s="18" t="str">
        <f t="shared" si="2"/>
        <v>0-10</v>
      </c>
      <c r="F31" s="18">
        <f>VALUE(TRIM(Raw_Data!D31))</f>
        <v>4</v>
      </c>
      <c r="G31" s="18" t="str">
        <f t="shared" si="3"/>
        <v>1-5</v>
      </c>
      <c r="H31" s="18" t="str">
        <f>PROPER(TRIM(Raw_Data!E31))</f>
        <v>Paws N Claws</v>
      </c>
      <c r="I31" s="20">
        <f>DATEVALUE(TRIM(Raw_Data!F31))</f>
        <v>46084</v>
      </c>
      <c r="J31" s="21" t="s">
        <v>88</v>
      </c>
    </row>
    <row r="32" ht="22.5" customHeight="1">
      <c r="A32" s="17" t="str">
        <f>PROPER(TRIM(Raw_Data!A32))</f>
        <v>Dog Snack Bar</v>
      </c>
      <c r="B32" s="18" t="str">
        <f>PROPER(TRIM(Raw_Data!B32))</f>
        <v>Snacks</v>
      </c>
      <c r="C32" s="19" t="str">
        <f t="shared" si="1"/>
        <v>Treats</v>
      </c>
      <c r="D32" s="19">
        <f>VALUE(SUBSTITUTE(TRIM(Raw_Data!C32), "$",""))</f>
        <v>2.75</v>
      </c>
      <c r="E32" s="18" t="str">
        <f t="shared" si="2"/>
        <v>10-20</v>
      </c>
      <c r="F32" s="18">
        <f>VALUE(TRIM(Raw_Data!D32))</f>
        <v>9</v>
      </c>
      <c r="G32" s="18" t="str">
        <f t="shared" si="3"/>
        <v>6-10</v>
      </c>
      <c r="H32" s="18" t="str">
        <f>PROPER(TRIM(Raw_Data!E32))</f>
        <v>Caninecorner</v>
      </c>
      <c r="I32" s="20">
        <f>DATEVALUE(TRIM(Raw_Data!F32))</f>
        <v>46086</v>
      </c>
      <c r="J32" s="21" t="s">
        <v>88</v>
      </c>
    </row>
    <row r="33" ht="22.5" customHeight="1">
      <c r="A33" s="17" t="str">
        <f>PROPER(TRIM(Raw_Data!A33))</f>
        <v>Dog Water Bottle</v>
      </c>
      <c r="B33" s="18" t="str">
        <f>PROPER(TRIM(Raw_Data!B33))</f>
        <v>Water Bottle</v>
      </c>
      <c r="C33" s="19" t="str">
        <f t="shared" si="1"/>
        <v>Water Bottle</v>
      </c>
      <c r="D33" s="19">
        <f>VALUE(SUBSTITUTE(TRIM(Raw_Data!C33), "$",""))</f>
        <v>4.5</v>
      </c>
      <c r="E33" s="18" t="str">
        <f t="shared" si="2"/>
        <v>20-30</v>
      </c>
      <c r="F33" s="18">
        <f>VALUE(TRIM(Raw_Data!D33))</f>
        <v>3</v>
      </c>
      <c r="G33" s="18" t="str">
        <f t="shared" si="3"/>
        <v>1-5</v>
      </c>
      <c r="H33" s="18" t="str">
        <f>PROPER(TRIM(Raw_Data!E33))</f>
        <v>Pethub</v>
      </c>
      <c r="I33" s="20">
        <f>DATEVALUE(TRIM(Raw_Data!F33))</f>
        <v>46088</v>
      </c>
      <c r="J33" s="21" t="s">
        <v>88</v>
      </c>
    </row>
    <row r="34" ht="22.5" customHeight="1">
      <c r="A34" s="17" t="str">
        <f>PROPER(TRIM(Raw_Data!A34))</f>
        <v>Puppy Chew Stick</v>
      </c>
      <c r="B34" s="18" t="str">
        <f>PROPER(TRIM(Raw_Data!B34))</f>
        <v>Chew</v>
      </c>
      <c r="C34" s="19" t="str">
        <f t="shared" si="1"/>
        <v>Toys</v>
      </c>
      <c r="D34" s="19">
        <f>VALUE(SUBSTITUTE(TRIM(Raw_Data!C34), "$",""))</f>
        <v>20</v>
      </c>
      <c r="E34" s="18" t="str">
        <f t="shared" si="2"/>
        <v>0-10</v>
      </c>
      <c r="F34" s="18">
        <f>VALUE(TRIM(Raw_Data!D34))</f>
        <v>10</v>
      </c>
      <c r="G34" s="18" t="str">
        <f t="shared" si="3"/>
        <v>6-10</v>
      </c>
      <c r="H34" s="18" t="str">
        <f>PROPER(TRIM(Raw_Data!E34))</f>
        <v>Happypaws</v>
      </c>
      <c r="I34" s="20">
        <f>DATEVALUE(TRIM(Raw_Data!F34))</f>
        <v>46091</v>
      </c>
      <c r="J34" s="21" t="s">
        <v>88</v>
      </c>
    </row>
    <row r="35" ht="22.5" customHeight="1">
      <c r="A35" s="17" t="str">
        <f>PROPER(TRIM(Raw_Data!A35))</f>
        <v>Dog Bowl Large</v>
      </c>
      <c r="B35" s="18" t="str">
        <f>PROPER(TRIM(Raw_Data!B35))</f>
        <v>Bowl</v>
      </c>
      <c r="C35" s="19" t="str">
        <f t="shared" si="1"/>
        <v>Bowl</v>
      </c>
      <c r="D35" s="19">
        <f>VALUE(SUBSTITUTE(TRIM(Raw_Data!C35), "$",""))</f>
        <v>6</v>
      </c>
      <c r="E35" s="18" t="str">
        <f t="shared" si="2"/>
        <v>0-10</v>
      </c>
      <c r="F35" s="18">
        <f>VALUE(TRIM(Raw_Data!D35))</f>
        <v>8</v>
      </c>
      <c r="G35" s="18" t="str">
        <f t="shared" si="3"/>
        <v>1-5</v>
      </c>
      <c r="H35" s="18" t="str">
        <f>PROPER(TRIM(Raw_Data!E35))</f>
        <v>Dogworld</v>
      </c>
      <c r="I35" s="20">
        <f>DATEVALUE(TRIM(Raw_Data!F35))</f>
        <v>46093</v>
      </c>
      <c r="J35" s="21" t="s">
        <v>88</v>
      </c>
    </row>
    <row r="36" ht="22.5" customHeight="1">
      <c r="A36" s="17" t="str">
        <f>PROPER(TRIM(Raw_Data!A36))</f>
        <v>Dog Nail Clippers</v>
      </c>
      <c r="B36" s="18" t="str">
        <f>PROPER(TRIM(Raw_Data!B36))</f>
        <v>Clippers</v>
      </c>
      <c r="C36" s="19" t="str">
        <f t="shared" si="1"/>
        <v>Grooming</v>
      </c>
      <c r="D36" s="19">
        <f>VALUE(SUBSTITUTE(TRIM(Raw_Data!C36), "$",""))</f>
        <v>8</v>
      </c>
      <c r="E36" s="18" t="str">
        <f t="shared" si="2"/>
        <v>10-20</v>
      </c>
      <c r="F36" s="18">
        <f>VALUE(TRIM(Raw_Data!D36))</f>
        <v>6</v>
      </c>
      <c r="G36" s="18" t="str">
        <f t="shared" si="3"/>
        <v>6-10</v>
      </c>
      <c r="H36" s="18" t="str">
        <f>PROPER(TRIM(Raw_Data!E36))</f>
        <v>Petco</v>
      </c>
      <c r="I36" s="20">
        <f>DATEVALUE(TRIM(Raw_Data!F36))</f>
        <v>46095</v>
      </c>
      <c r="J36" s="21" t="s">
        <v>88</v>
      </c>
    </row>
    <row r="37" ht="22.5" customHeight="1">
      <c r="A37" s="17" t="str">
        <f>PROPER(TRIM(Raw_Data!A37))</f>
        <v>Puppy Toy Ball</v>
      </c>
      <c r="B37" s="18" t="str">
        <f>PROPER(TRIM(Raw_Data!B37))</f>
        <v>Toy</v>
      </c>
      <c r="C37" s="19" t="str">
        <f t="shared" si="1"/>
        <v>Toys</v>
      </c>
      <c r="D37" s="19">
        <f>VALUE(SUBSTITUTE(TRIM(Raw_Data!C37), "$",""))</f>
        <v>17</v>
      </c>
      <c r="E37" s="18" t="str">
        <f t="shared" si="2"/>
        <v>0-10</v>
      </c>
      <c r="F37" s="18">
        <f>VALUE(TRIM(Raw_Data!D37))</f>
        <v>12</v>
      </c>
      <c r="G37" s="18" t="str">
        <f t="shared" si="3"/>
        <v>6-10</v>
      </c>
      <c r="H37" s="18" t="str">
        <f>PROPER(TRIM(Raw_Data!E37))</f>
        <v>Barkshop</v>
      </c>
      <c r="I37" s="20">
        <f>DATEVALUE(TRIM(Raw_Data!F37))</f>
        <v>46097</v>
      </c>
      <c r="J37" s="21" t="s">
        <v>88</v>
      </c>
    </row>
    <row r="38" ht="22.5" customHeight="1">
      <c r="A38" s="17" t="str">
        <f>PROPER(TRIM(Raw_Data!A38))</f>
        <v>Dog Harness Adjustable</v>
      </c>
      <c r="B38" s="18" t="str">
        <f>PROPER(TRIM(Raw_Data!B38))</f>
        <v>Harness</v>
      </c>
      <c r="C38" s="19" t="str">
        <f t="shared" si="1"/>
        <v>Walking</v>
      </c>
      <c r="D38" s="19">
        <f>VALUE(SUBSTITUTE(TRIM(Raw_Data!C38), "$",""))</f>
        <v>22</v>
      </c>
      <c r="E38" s="18" t="str">
        <f t="shared" si="2"/>
        <v>0-10</v>
      </c>
      <c r="F38" s="18">
        <f>VALUE(TRIM(Raw_Data!D38))</f>
        <v>2</v>
      </c>
      <c r="G38" s="18" t="str">
        <f t="shared" si="3"/>
        <v>6-10</v>
      </c>
      <c r="H38" s="18" t="str">
        <f>PROPER(TRIM(Raw_Data!E38))</f>
        <v>Doggiemart</v>
      </c>
      <c r="I38" s="20">
        <f>DATEVALUE(TRIM(Raw_Data!F38))</f>
        <v>46099</v>
      </c>
      <c r="J38" s="21" t="s">
        <v>88</v>
      </c>
    </row>
    <row r="39" ht="22.5" customHeight="1">
      <c r="A39" s="17" t="str">
        <f>PROPER(TRIM(Raw_Data!A39))</f>
        <v>Dog Jacket Xl</v>
      </c>
      <c r="B39" s="18" t="str">
        <f>PROPER(TRIM(Raw_Data!B39))</f>
        <v>Jacket</v>
      </c>
      <c r="C39" s="19" t="str">
        <f t="shared" si="1"/>
        <v>Accessories</v>
      </c>
      <c r="D39" s="19">
        <f>VALUE(SUBSTITUTE(TRIM(Raw_Data!C39), "$",""))</f>
        <v>40</v>
      </c>
      <c r="E39" s="18" t="str">
        <f t="shared" si="2"/>
        <v>10-20</v>
      </c>
      <c r="F39" s="18">
        <f>VALUE(TRIM(Raw_Data!D39))</f>
        <v>5</v>
      </c>
      <c r="G39" s="18" t="str">
        <f t="shared" si="3"/>
        <v>11-15</v>
      </c>
      <c r="H39" s="18" t="str">
        <f>PROPER(TRIM(Raw_Data!E39))</f>
        <v>Furever</v>
      </c>
      <c r="I39" s="20">
        <f>DATEVALUE(TRIM(Raw_Data!F39))</f>
        <v>46101</v>
      </c>
      <c r="J39" s="21" t="s">
        <v>88</v>
      </c>
    </row>
    <row r="40" ht="22.5" customHeight="1">
      <c r="A40" s="17" t="str">
        <f>PROPER(TRIM(Raw_Data!A40))</f>
        <v>Dog Raincoat</v>
      </c>
      <c r="B40" s="18" t="str">
        <f>PROPER(TRIM(Raw_Data!B40))</f>
        <v>Raincoat</v>
      </c>
      <c r="C40" s="19" t="str">
        <f t="shared" si="1"/>
        <v>Accessories</v>
      </c>
      <c r="D40" s="19">
        <f>VALUE(SUBSTITUTE(TRIM(Raw_Data!C40), "$",""))</f>
        <v>3.25</v>
      </c>
      <c r="E40" s="18" t="str">
        <f t="shared" si="2"/>
        <v>20-30</v>
      </c>
      <c r="F40" s="18">
        <f>VALUE(TRIM(Raw_Data!D40))</f>
        <v>3</v>
      </c>
      <c r="G40" s="18" t="str">
        <f t="shared" si="3"/>
        <v>1-5</v>
      </c>
      <c r="H40" s="18" t="str">
        <f>PROPER(TRIM(Raw_Data!E40))</f>
        <v>Puppysupply</v>
      </c>
      <c r="I40" s="20">
        <f>DATEVALUE(TRIM(Raw_Data!F40))</f>
        <v>46103</v>
      </c>
      <c r="J40" s="21" t="s">
        <v>88</v>
      </c>
    </row>
    <row r="41" ht="22.5" customHeight="1">
      <c r="A41" s="17" t="str">
        <f>PROPER(TRIM(Raw_Data!A41))</f>
        <v>Dog Bed King</v>
      </c>
      <c r="B41" s="18" t="str">
        <f>PROPER(TRIM(Raw_Data!B41))</f>
        <v>Bed</v>
      </c>
      <c r="C41" s="19" t="str">
        <f t="shared" si="1"/>
        <v>Comfort</v>
      </c>
      <c r="D41" s="19">
        <f>VALUE(SUBSTITUTE(TRIM(Raw_Data!C41), "$",""))</f>
        <v>2.5</v>
      </c>
      <c r="E41" s="18" t="str">
        <f t="shared" si="2"/>
        <v>30+</v>
      </c>
      <c r="F41" s="18">
        <f>VALUE(TRIM(Raw_Data!D41))</f>
        <v>7</v>
      </c>
      <c r="G41" s="18" t="str">
        <f t="shared" si="3"/>
        <v>1-5</v>
      </c>
      <c r="H41" s="18" t="str">
        <f>PROPER(TRIM(Raw_Data!E41))</f>
        <v>Paws N Claws</v>
      </c>
      <c r="I41" s="20">
        <f>DATEVALUE(TRIM(Raw_Data!F41))</f>
        <v>46106</v>
      </c>
      <c r="J41" s="21" t="s">
        <v>88</v>
      </c>
    </row>
    <row r="42" ht="22.5" customHeight="1">
      <c r="A42" s="17" t="str">
        <f>PROPER(TRIM(Raw_Data!A42))</f>
        <v>Puppy Chew Ring</v>
      </c>
      <c r="B42" s="18" t="str">
        <f>PROPER(TRIM(Raw_Data!B42))</f>
        <v>Chew</v>
      </c>
      <c r="C42" s="19" t="str">
        <f t="shared" si="1"/>
        <v>Toys</v>
      </c>
      <c r="D42" s="19">
        <f>VALUE(SUBSTITUTE(TRIM(Raw_Data!C42), "$",""))</f>
        <v>10</v>
      </c>
      <c r="E42" s="18" t="str">
        <f t="shared" si="2"/>
        <v>0-10</v>
      </c>
      <c r="F42" s="18">
        <f>VALUE(TRIM(Raw_Data!D42))</f>
        <v>4</v>
      </c>
      <c r="G42" s="18" t="str">
        <f t="shared" si="3"/>
        <v>1-5</v>
      </c>
      <c r="H42" s="18" t="str">
        <f>PROPER(TRIM(Raw_Data!E42))</f>
        <v>Caninecorner</v>
      </c>
      <c r="I42" s="20">
        <f>DATEVALUE(TRIM(Raw_Data!F42))</f>
        <v>46108</v>
      </c>
      <c r="J42" s="21" t="s">
        <v>88</v>
      </c>
    </row>
    <row r="43" ht="22.5" customHeight="1">
      <c r="A43" s="17" t="str">
        <f>PROPER(TRIM(Raw_Data!A43))</f>
        <v>Dog Treat Box</v>
      </c>
      <c r="B43" s="18" t="str">
        <f>PROPER(TRIM(Raw_Data!B43))</f>
        <v>Treats</v>
      </c>
      <c r="C43" s="19" t="str">
        <f t="shared" si="1"/>
        <v>Treats</v>
      </c>
      <c r="D43" s="19">
        <f>VALUE(SUBSTITUTE(TRIM(Raw_Data!C43), "$",""))</f>
        <v>7</v>
      </c>
      <c r="E43" s="18" t="str">
        <f t="shared" si="2"/>
        <v>0-10</v>
      </c>
      <c r="F43" s="18">
        <f>VALUE(TRIM(Raw_Data!D43))</f>
        <v>15</v>
      </c>
      <c r="G43" s="18" t="str">
        <f t="shared" si="3"/>
        <v>6-10</v>
      </c>
      <c r="H43" s="18" t="str">
        <f>PROPER(TRIM(Raw_Data!E43))</f>
        <v>Pethub</v>
      </c>
      <c r="I43" s="20">
        <f>DATEVALUE(TRIM(Raw_Data!F43))</f>
        <v>46110</v>
      </c>
      <c r="J43" s="21" t="s">
        <v>88</v>
      </c>
    </row>
    <row r="44" ht="22.5" customHeight="1">
      <c r="A44" s="17" t="str">
        <f>PROPER(TRIM(Raw_Data!A44))</f>
        <v>Dog Collar Small</v>
      </c>
      <c r="B44" s="18" t="str">
        <f>PROPER(TRIM(Raw_Data!B44))</f>
        <v>Collar</v>
      </c>
      <c r="C44" s="19" t="str">
        <f t="shared" si="1"/>
        <v>Walking</v>
      </c>
      <c r="D44" s="22" t="s">
        <v>89</v>
      </c>
      <c r="E44" s="18" t="str">
        <f t="shared" si="2"/>
        <v>0-10</v>
      </c>
      <c r="F44" s="18">
        <f>VALUE(TRIM(Raw_Data!D44))</f>
        <v>8</v>
      </c>
      <c r="G44" s="18" t="str">
        <f t="shared" si="3"/>
        <v>1-5</v>
      </c>
      <c r="H44" s="18" t="str">
        <f>PROPER(TRIM(Raw_Data!E44))</f>
        <v>Dogworld</v>
      </c>
      <c r="I44" s="20">
        <f>DATEVALUE(TRIM(Raw_Data!F44))</f>
        <v>46112</v>
      </c>
      <c r="J44" s="21" t="s">
        <v>90</v>
      </c>
    </row>
  </sheetData>
  <mergeCells count="1">
    <mergeCell ref="A2:G2"/>
  </mergeCells>
  <dataValidations>
    <dataValidation type="custom" allowBlank="1" showDropDown="1" sqref="I4:I44">
      <formula1>OR(NOT(ISERROR(DATEVALUE(I4))), AND(ISNUMBER(I4), LEFT(CELL("format", I4))="D"))</formula1>
    </dataValidation>
    <dataValidation type="custom" allowBlank="1" showDropDown="1" sqref="D4:D44">
      <formula1>AND(ISNUMBER(D4),(NOT(OR(NOT(ISERROR(DATEVALUE(D4))), AND(ISNUMBER(D4), LEFT(CELL("format", D4))="D")))))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1.38"/>
    <col customWidth="1" min="9" max="9" width="21.63"/>
  </cols>
  <sheetData>
    <row r="1">
      <c r="A1" s="23" t="s">
        <v>91</v>
      </c>
    </row>
    <row r="2"/>
    <row r="3"/>
    <row r="4"/>
    <row r="5"/>
    <row r="6"/>
    <row r="7"/>
    <row r="8"/>
    <row r="9"/>
    <row r="10"/>
    <row r="11"/>
    <row r="12"/>
    <row r="13"/>
    <row r="14"/>
    <row r="21">
      <c r="A21" s="23" t="s">
        <v>105</v>
      </c>
    </row>
    <row r="26"/>
    <row r="27"/>
    <row r="28"/>
    <row r="29"/>
    <row r="30"/>
    <row r="31"/>
    <row r="41">
      <c r="A41" s="26"/>
    </row>
    <row r="42">
      <c r="A42" s="23" t="s">
        <v>110</v>
      </c>
    </row>
    <row r="47"/>
    <row r="48"/>
    <row r="49"/>
    <row r="50"/>
    <row r="51"/>
    <row r="52"/>
  </sheetData>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115</v>
      </c>
    </row>
    <row r="2">
      <c r="A2" s="28"/>
      <c r="B2" s="29"/>
      <c r="C2" s="29"/>
      <c r="D2" s="29"/>
      <c r="E2" s="29"/>
      <c r="F2" s="29"/>
      <c r="G2" s="29"/>
      <c r="H2" s="29"/>
      <c r="I2" s="29"/>
      <c r="J2" s="29"/>
      <c r="K2" s="29"/>
      <c r="L2" s="29"/>
      <c r="M2" s="29"/>
      <c r="N2" s="29"/>
      <c r="O2" s="29"/>
      <c r="P2" s="29"/>
      <c r="Q2" s="29"/>
      <c r="R2" s="29"/>
    </row>
    <row r="3">
      <c r="A3" s="28" t="s">
        <v>116</v>
      </c>
      <c r="B3" s="29"/>
      <c r="C3" s="29"/>
      <c r="D3" s="29"/>
      <c r="E3" s="29"/>
      <c r="F3" s="29"/>
      <c r="G3" s="29"/>
      <c r="H3" s="29"/>
      <c r="I3" s="29"/>
      <c r="J3" s="29"/>
      <c r="K3" s="29"/>
      <c r="L3" s="29"/>
      <c r="M3" s="29"/>
      <c r="N3" s="29"/>
      <c r="O3" s="29"/>
      <c r="P3" s="29"/>
      <c r="Q3" s="29"/>
      <c r="R3" s="29"/>
    </row>
    <row r="4">
      <c r="A4" s="23" t="s">
        <v>117</v>
      </c>
      <c r="B4" s="29"/>
      <c r="C4" s="29"/>
      <c r="D4" s="29"/>
      <c r="E4" s="29"/>
      <c r="F4" s="29"/>
      <c r="G4" s="29"/>
      <c r="H4" s="29"/>
      <c r="I4" s="29"/>
      <c r="J4" s="29"/>
      <c r="K4" s="29"/>
      <c r="L4" s="29"/>
      <c r="M4" s="29"/>
      <c r="N4" s="29"/>
      <c r="O4" s="29"/>
      <c r="P4" s="29"/>
      <c r="Q4" s="29"/>
      <c r="R4" s="29"/>
    </row>
    <row r="5">
      <c r="A5" s="29"/>
      <c r="B5" s="29"/>
      <c r="C5" s="29"/>
      <c r="D5" s="29"/>
      <c r="E5" s="29"/>
      <c r="F5" s="29"/>
      <c r="G5" s="29"/>
      <c r="H5" s="29"/>
      <c r="I5" s="29"/>
      <c r="J5" s="29"/>
      <c r="K5" s="29"/>
      <c r="L5" s="29"/>
      <c r="M5" s="29"/>
      <c r="N5" s="29"/>
      <c r="O5" s="29"/>
      <c r="P5" s="29"/>
      <c r="Q5" s="29"/>
      <c r="R5" s="29"/>
    </row>
    <row r="6">
      <c r="A6" s="28" t="s">
        <v>118</v>
      </c>
      <c r="B6" s="29"/>
      <c r="C6" s="29"/>
      <c r="D6" s="29"/>
      <c r="E6" s="29"/>
      <c r="F6" s="29"/>
      <c r="G6" s="29"/>
      <c r="H6" s="29"/>
      <c r="I6" s="29"/>
      <c r="J6" s="29"/>
      <c r="K6" s="29"/>
      <c r="L6" s="29"/>
      <c r="M6" s="29"/>
      <c r="N6" s="29"/>
      <c r="O6" s="29"/>
      <c r="P6" s="29"/>
      <c r="Q6" s="29"/>
      <c r="R6" s="29"/>
    </row>
    <row r="7">
      <c r="A7" s="23" t="s">
        <v>119</v>
      </c>
      <c r="B7" s="29"/>
      <c r="C7" s="29"/>
      <c r="D7" s="29"/>
      <c r="E7" s="29"/>
      <c r="F7" s="29"/>
      <c r="G7" s="29"/>
      <c r="H7" s="29"/>
      <c r="I7" s="29"/>
      <c r="J7" s="29"/>
      <c r="K7" s="29"/>
      <c r="L7" s="29"/>
      <c r="M7" s="29"/>
      <c r="N7" s="29"/>
      <c r="O7" s="29"/>
      <c r="P7" s="29"/>
      <c r="Q7" s="29"/>
      <c r="R7" s="29"/>
    </row>
    <row r="8">
      <c r="A8" s="29"/>
      <c r="B8" s="29"/>
      <c r="C8" s="29"/>
      <c r="D8" s="29"/>
      <c r="E8" s="29"/>
      <c r="F8" s="29"/>
      <c r="G8" s="29"/>
      <c r="H8" s="29"/>
      <c r="I8" s="29"/>
      <c r="J8" s="29"/>
      <c r="K8" s="29"/>
      <c r="L8" s="29"/>
      <c r="M8" s="29"/>
      <c r="N8" s="29"/>
      <c r="O8" s="29"/>
      <c r="P8" s="29"/>
      <c r="Q8" s="29"/>
      <c r="R8" s="29"/>
    </row>
    <row r="9">
      <c r="A9" s="23" t="s">
        <v>120</v>
      </c>
      <c r="B9" s="29"/>
      <c r="C9" s="29"/>
      <c r="D9" s="29"/>
      <c r="E9" s="29"/>
      <c r="F9" s="29"/>
      <c r="G9" s="29"/>
      <c r="H9" s="29"/>
      <c r="I9" s="29"/>
      <c r="J9" s="29"/>
      <c r="K9" s="29"/>
      <c r="L9" s="29"/>
      <c r="M9" s="29"/>
      <c r="N9" s="29"/>
      <c r="O9" s="29"/>
      <c r="P9" s="29"/>
      <c r="Q9" s="29"/>
      <c r="R9" s="29"/>
    </row>
    <row r="10">
      <c r="A10" s="23" t="s">
        <v>121</v>
      </c>
      <c r="B10" s="29"/>
      <c r="C10" s="29"/>
      <c r="D10" s="29"/>
      <c r="E10" s="29"/>
      <c r="F10" s="29"/>
      <c r="G10" s="29"/>
      <c r="H10" s="29"/>
      <c r="I10" s="29"/>
      <c r="J10" s="29"/>
      <c r="K10" s="29"/>
      <c r="L10" s="29"/>
      <c r="M10" s="29"/>
      <c r="N10" s="29"/>
      <c r="O10" s="29"/>
      <c r="P10" s="29"/>
      <c r="Q10" s="29"/>
      <c r="R10" s="29"/>
    </row>
    <row r="11">
      <c r="A11" s="23" t="s">
        <v>122</v>
      </c>
      <c r="B11" s="29"/>
      <c r="C11" s="29"/>
      <c r="D11" s="29"/>
      <c r="E11" s="29"/>
      <c r="F11" s="29"/>
      <c r="G11" s="29"/>
      <c r="H11" s="29"/>
      <c r="I11" s="29"/>
      <c r="J11" s="29"/>
      <c r="K11" s="29"/>
      <c r="L11" s="29"/>
      <c r="M11" s="29"/>
      <c r="N11" s="29"/>
      <c r="O11" s="29"/>
      <c r="P11" s="29"/>
      <c r="Q11" s="29"/>
      <c r="R11" s="29"/>
    </row>
    <row r="12">
      <c r="A12" s="23" t="s">
        <v>123</v>
      </c>
      <c r="B12" s="29"/>
      <c r="C12" s="29"/>
      <c r="D12" s="29"/>
      <c r="E12" s="29"/>
      <c r="F12" s="29"/>
      <c r="G12" s="29"/>
      <c r="H12" s="29"/>
      <c r="I12" s="29"/>
      <c r="J12" s="29"/>
      <c r="K12" s="29"/>
      <c r="L12" s="29"/>
      <c r="M12" s="29"/>
      <c r="N12" s="29"/>
      <c r="O12" s="29"/>
      <c r="P12" s="29"/>
      <c r="Q12" s="29"/>
      <c r="R12" s="29"/>
    </row>
    <row r="13">
      <c r="A13" s="23" t="s">
        <v>124</v>
      </c>
      <c r="B13" s="29"/>
      <c r="C13" s="29"/>
      <c r="D13" s="29"/>
      <c r="E13" s="29"/>
      <c r="F13" s="29"/>
      <c r="G13" s="29"/>
      <c r="H13" s="29"/>
      <c r="I13" s="29"/>
      <c r="J13" s="29"/>
      <c r="K13" s="29"/>
      <c r="L13" s="29"/>
      <c r="M13" s="29"/>
      <c r="N13" s="29"/>
      <c r="O13" s="29"/>
      <c r="P13" s="29"/>
      <c r="Q13" s="29"/>
      <c r="R13" s="29"/>
    </row>
    <row r="14">
      <c r="A14" s="23" t="s">
        <v>125</v>
      </c>
      <c r="B14" s="29"/>
      <c r="C14" s="29"/>
      <c r="D14" s="29"/>
      <c r="E14" s="29"/>
      <c r="F14" s="29"/>
      <c r="G14" s="29"/>
      <c r="H14" s="29"/>
      <c r="I14" s="29"/>
      <c r="J14" s="29"/>
      <c r="K14" s="29"/>
      <c r="L14" s="29"/>
      <c r="M14" s="29"/>
      <c r="N14" s="29"/>
      <c r="O14" s="29"/>
      <c r="P14" s="29"/>
      <c r="Q14" s="29"/>
      <c r="R14" s="29"/>
    </row>
    <row r="15">
      <c r="A15" s="29"/>
      <c r="B15" s="29"/>
      <c r="C15" s="29"/>
      <c r="D15" s="29"/>
      <c r="E15" s="29"/>
      <c r="F15" s="29"/>
      <c r="G15" s="29"/>
      <c r="H15" s="29"/>
      <c r="I15" s="29"/>
      <c r="J15" s="29"/>
      <c r="K15" s="29"/>
      <c r="L15" s="29"/>
      <c r="M15" s="29"/>
      <c r="N15" s="29"/>
      <c r="O15" s="29"/>
      <c r="P15" s="29"/>
      <c r="Q15" s="29"/>
      <c r="R15" s="29"/>
    </row>
    <row r="16">
      <c r="A16" s="23" t="s">
        <v>126</v>
      </c>
      <c r="B16" s="29"/>
      <c r="C16" s="29"/>
      <c r="D16" s="29"/>
      <c r="E16" s="29"/>
      <c r="F16" s="29"/>
      <c r="G16" s="29"/>
      <c r="H16" s="29"/>
      <c r="I16" s="29"/>
      <c r="J16" s="29"/>
      <c r="K16" s="29"/>
      <c r="L16" s="29"/>
      <c r="M16" s="29"/>
      <c r="N16" s="29"/>
      <c r="O16" s="29"/>
      <c r="P16" s="29"/>
      <c r="Q16" s="29"/>
      <c r="R16" s="29"/>
    </row>
    <row r="17">
      <c r="A17" s="29"/>
      <c r="B17" s="29"/>
      <c r="C17" s="29"/>
      <c r="D17" s="29"/>
      <c r="E17" s="29"/>
      <c r="F17" s="29"/>
      <c r="G17" s="29"/>
      <c r="H17" s="29"/>
      <c r="I17" s="29"/>
      <c r="J17" s="29"/>
      <c r="K17" s="29"/>
      <c r="L17" s="29"/>
      <c r="M17" s="29"/>
      <c r="N17" s="29"/>
      <c r="O17" s="29"/>
      <c r="P17" s="29"/>
      <c r="Q17" s="29"/>
      <c r="R17" s="29"/>
    </row>
    <row r="18">
      <c r="A18" s="28" t="s">
        <v>127</v>
      </c>
      <c r="B18" s="29"/>
      <c r="C18" s="29"/>
      <c r="D18" s="29"/>
      <c r="E18" s="29"/>
      <c r="F18" s="29"/>
      <c r="G18" s="29"/>
      <c r="H18" s="29"/>
      <c r="I18" s="29"/>
      <c r="J18" s="29"/>
      <c r="K18" s="29"/>
      <c r="L18" s="29"/>
      <c r="M18" s="29"/>
      <c r="N18" s="29"/>
      <c r="O18" s="29"/>
      <c r="P18" s="29"/>
      <c r="Q18" s="29"/>
      <c r="R18" s="29"/>
    </row>
    <row r="19">
      <c r="A19" s="23" t="s">
        <v>128</v>
      </c>
      <c r="B19" s="29"/>
      <c r="C19" s="29"/>
      <c r="D19" s="29"/>
      <c r="E19" s="29"/>
      <c r="F19" s="29"/>
      <c r="G19" s="29"/>
      <c r="H19" s="29"/>
      <c r="I19" s="29"/>
      <c r="J19" s="29"/>
      <c r="K19" s="29"/>
      <c r="L19" s="29"/>
      <c r="M19" s="29"/>
      <c r="N19" s="29"/>
      <c r="O19" s="29"/>
      <c r="P19" s="29"/>
      <c r="Q19" s="29"/>
      <c r="R19" s="29"/>
    </row>
    <row r="20">
      <c r="A20" s="23" t="s">
        <v>129</v>
      </c>
      <c r="B20" s="29"/>
      <c r="C20" s="29"/>
      <c r="D20" s="29"/>
      <c r="E20" s="29"/>
      <c r="F20" s="29"/>
      <c r="G20" s="29"/>
      <c r="H20" s="29"/>
      <c r="I20" s="29"/>
      <c r="J20" s="29"/>
      <c r="K20" s="29"/>
      <c r="L20" s="29"/>
      <c r="M20" s="29"/>
      <c r="N20" s="29"/>
      <c r="O20" s="29"/>
      <c r="P20" s="29"/>
      <c r="Q20" s="29"/>
      <c r="R20" s="29"/>
    </row>
    <row r="21">
      <c r="A21" s="23" t="s">
        <v>130</v>
      </c>
      <c r="B21" s="29"/>
      <c r="C21" s="29"/>
      <c r="D21" s="29"/>
      <c r="E21" s="29"/>
      <c r="F21" s="29"/>
      <c r="G21" s="29"/>
      <c r="H21" s="29"/>
      <c r="I21" s="29"/>
      <c r="J21" s="29"/>
      <c r="K21" s="29"/>
      <c r="L21" s="29"/>
      <c r="M21" s="29"/>
      <c r="N21" s="29"/>
      <c r="O21" s="29"/>
      <c r="P21" s="29"/>
      <c r="Q21" s="29"/>
      <c r="R21" s="29"/>
    </row>
    <row r="22">
      <c r="A22" s="23" t="s">
        <v>131</v>
      </c>
      <c r="B22" s="29"/>
      <c r="C22" s="29"/>
      <c r="D22" s="29"/>
      <c r="E22" s="29"/>
      <c r="F22" s="29"/>
      <c r="G22" s="29"/>
      <c r="H22" s="29"/>
      <c r="I22" s="29"/>
      <c r="J22" s="29"/>
      <c r="K22" s="29"/>
      <c r="L22" s="29"/>
      <c r="M22" s="29"/>
      <c r="N22" s="29"/>
      <c r="O22" s="29"/>
      <c r="P22" s="29"/>
      <c r="Q22" s="29"/>
      <c r="R22" s="29"/>
    </row>
    <row r="23">
      <c r="A23" s="28"/>
      <c r="B23" s="29"/>
      <c r="C23" s="29"/>
      <c r="D23" s="29"/>
      <c r="E23" s="29"/>
      <c r="F23" s="29"/>
      <c r="G23" s="29"/>
      <c r="H23" s="29"/>
      <c r="I23" s="29"/>
      <c r="J23" s="29"/>
      <c r="K23" s="29"/>
      <c r="L23" s="29"/>
      <c r="M23" s="29"/>
      <c r="N23" s="29"/>
      <c r="O23" s="29"/>
      <c r="P23" s="29"/>
      <c r="Q23" s="29"/>
      <c r="R23" s="29"/>
    </row>
    <row r="24">
      <c r="A24" s="28" t="s">
        <v>132</v>
      </c>
      <c r="B24" s="29"/>
      <c r="C24" s="29"/>
      <c r="D24" s="29"/>
      <c r="E24" s="29"/>
      <c r="F24" s="29"/>
      <c r="G24" s="29"/>
      <c r="H24" s="29"/>
      <c r="I24" s="29"/>
      <c r="J24" s="29"/>
      <c r="K24" s="29"/>
      <c r="L24" s="29"/>
      <c r="M24" s="29"/>
      <c r="N24" s="29"/>
      <c r="O24" s="29"/>
      <c r="P24" s="29"/>
      <c r="Q24" s="29"/>
      <c r="R24" s="29"/>
    </row>
    <row r="25">
      <c r="A25" s="23" t="s">
        <v>133</v>
      </c>
      <c r="B25" s="29"/>
      <c r="C25" s="29"/>
      <c r="D25" s="29"/>
      <c r="E25" s="29"/>
      <c r="F25" s="29"/>
      <c r="G25" s="29"/>
      <c r="H25" s="29"/>
      <c r="I25" s="29"/>
      <c r="J25" s="29"/>
      <c r="K25" s="29"/>
      <c r="L25" s="29"/>
      <c r="M25" s="29"/>
      <c r="N25" s="29"/>
      <c r="O25" s="29"/>
      <c r="P25" s="29"/>
      <c r="Q25" s="29"/>
      <c r="R25" s="29"/>
    </row>
    <row r="26">
      <c r="A26" s="23" t="s">
        <v>134</v>
      </c>
      <c r="B26" s="29"/>
      <c r="C26" s="29"/>
      <c r="D26" s="29"/>
      <c r="E26" s="29"/>
      <c r="F26" s="29"/>
      <c r="G26" s="29"/>
      <c r="H26" s="29"/>
      <c r="I26" s="29"/>
      <c r="J26" s="29"/>
      <c r="K26" s="29"/>
      <c r="L26" s="29"/>
      <c r="M26" s="29"/>
      <c r="N26" s="29"/>
      <c r="O26" s="29"/>
      <c r="P26" s="29"/>
      <c r="Q26" s="29"/>
      <c r="R26" s="29"/>
    </row>
    <row r="27">
      <c r="A27" s="23" t="s">
        <v>135</v>
      </c>
      <c r="B27" s="29"/>
      <c r="C27" s="29"/>
      <c r="D27" s="29"/>
      <c r="E27" s="29"/>
      <c r="F27" s="29"/>
      <c r="G27" s="29"/>
      <c r="H27" s="29"/>
      <c r="I27" s="29"/>
      <c r="J27" s="29"/>
      <c r="K27" s="29"/>
      <c r="L27" s="29"/>
      <c r="M27" s="29"/>
      <c r="N27" s="29"/>
      <c r="O27" s="29"/>
      <c r="P27" s="29"/>
      <c r="Q27" s="29"/>
      <c r="R27" s="29"/>
    </row>
    <row r="28">
      <c r="A28" s="28"/>
      <c r="B28" s="29"/>
      <c r="C28" s="29"/>
      <c r="D28" s="29"/>
      <c r="E28" s="29"/>
      <c r="F28" s="29"/>
      <c r="G28" s="29"/>
      <c r="H28" s="29"/>
      <c r="I28" s="29"/>
      <c r="J28" s="29"/>
      <c r="K28" s="29"/>
      <c r="L28" s="29"/>
      <c r="M28" s="29"/>
      <c r="N28" s="29"/>
      <c r="O28" s="29"/>
      <c r="P28" s="29"/>
      <c r="Q28" s="29"/>
      <c r="R28" s="29"/>
    </row>
    <row r="29">
      <c r="A29" s="28" t="s">
        <v>136</v>
      </c>
      <c r="B29" s="29"/>
      <c r="C29" s="29"/>
      <c r="D29" s="29"/>
      <c r="E29" s="29"/>
      <c r="F29" s="29"/>
      <c r="G29" s="29"/>
      <c r="H29" s="29"/>
      <c r="I29" s="29"/>
      <c r="J29" s="29"/>
      <c r="K29" s="29"/>
      <c r="L29" s="29"/>
      <c r="M29" s="29"/>
      <c r="N29" s="29"/>
      <c r="O29" s="29"/>
      <c r="P29" s="29"/>
      <c r="Q29" s="29"/>
      <c r="R29" s="29"/>
    </row>
    <row r="30">
      <c r="A30" s="23" t="s">
        <v>137</v>
      </c>
      <c r="B30" s="29"/>
      <c r="C30" s="29"/>
      <c r="D30" s="29"/>
      <c r="E30" s="29"/>
      <c r="F30" s="29"/>
      <c r="G30" s="29"/>
      <c r="H30" s="29"/>
      <c r="I30" s="29"/>
      <c r="J30" s="29"/>
      <c r="K30" s="29"/>
      <c r="L30" s="29"/>
      <c r="M30" s="29"/>
      <c r="N30" s="29"/>
      <c r="O30" s="29"/>
      <c r="P30" s="29"/>
      <c r="Q30" s="29"/>
      <c r="R30" s="29"/>
    </row>
    <row r="31">
      <c r="A31" s="23" t="s">
        <v>138</v>
      </c>
      <c r="B31" s="29"/>
      <c r="C31" s="29"/>
      <c r="D31" s="29"/>
      <c r="E31" s="29"/>
      <c r="F31" s="29"/>
      <c r="G31" s="29"/>
      <c r="H31" s="29"/>
      <c r="I31" s="29"/>
      <c r="J31" s="29"/>
      <c r="K31" s="29"/>
      <c r="L31" s="29"/>
      <c r="M31" s="29"/>
      <c r="N31" s="29"/>
      <c r="O31" s="29"/>
      <c r="P31" s="29"/>
      <c r="Q31" s="29"/>
      <c r="R31" s="29"/>
    </row>
    <row r="32">
      <c r="A32" s="23" t="s">
        <v>139</v>
      </c>
      <c r="B32" s="29"/>
      <c r="C32" s="29"/>
      <c r="D32" s="29"/>
      <c r="E32" s="29"/>
      <c r="F32" s="29"/>
      <c r="G32" s="29"/>
      <c r="H32" s="29"/>
      <c r="I32" s="29"/>
      <c r="J32" s="29"/>
      <c r="K32" s="29"/>
      <c r="L32" s="29"/>
      <c r="M32" s="29"/>
      <c r="N32" s="29"/>
      <c r="O32" s="29"/>
      <c r="P32" s="29"/>
      <c r="Q32" s="29"/>
      <c r="R32" s="29"/>
    </row>
    <row r="33">
      <c r="A33" s="28"/>
      <c r="B33" s="29"/>
      <c r="C33" s="29"/>
      <c r="D33" s="29"/>
      <c r="E33" s="29"/>
      <c r="F33" s="29"/>
      <c r="G33" s="29"/>
      <c r="H33" s="29"/>
      <c r="I33" s="29"/>
      <c r="J33" s="29"/>
      <c r="K33" s="29"/>
      <c r="L33" s="29"/>
      <c r="M33" s="29"/>
      <c r="N33" s="29"/>
      <c r="O33" s="29"/>
      <c r="P33" s="29"/>
      <c r="Q33" s="29"/>
      <c r="R33" s="29"/>
    </row>
    <row r="34">
      <c r="A34" s="28" t="s">
        <v>140</v>
      </c>
      <c r="B34" s="29"/>
      <c r="C34" s="29"/>
      <c r="D34" s="29"/>
      <c r="E34" s="29"/>
      <c r="F34" s="29"/>
      <c r="G34" s="29"/>
      <c r="H34" s="29"/>
      <c r="I34" s="29"/>
      <c r="J34" s="29"/>
      <c r="K34" s="29"/>
      <c r="L34" s="29"/>
      <c r="M34" s="29"/>
      <c r="N34" s="29"/>
      <c r="O34" s="29"/>
      <c r="P34" s="29"/>
      <c r="Q34" s="29"/>
      <c r="R34" s="29"/>
    </row>
    <row r="35">
      <c r="A35" s="23" t="s">
        <v>141</v>
      </c>
      <c r="B35" s="29"/>
      <c r="C35" s="29"/>
      <c r="D35" s="29"/>
      <c r="E35" s="29"/>
      <c r="F35" s="29"/>
      <c r="G35" s="29"/>
      <c r="H35" s="29"/>
      <c r="I35" s="29"/>
      <c r="J35" s="29"/>
      <c r="K35" s="29"/>
      <c r="L35" s="29"/>
      <c r="M35" s="29"/>
      <c r="N35" s="29"/>
      <c r="O35" s="29"/>
      <c r="P35" s="29"/>
      <c r="Q35" s="29"/>
      <c r="R35" s="29"/>
    </row>
    <row r="36">
      <c r="A36" s="23" t="s">
        <v>142</v>
      </c>
      <c r="B36" s="29"/>
      <c r="C36" s="29"/>
      <c r="D36" s="29"/>
      <c r="E36" s="29"/>
      <c r="F36" s="29"/>
      <c r="G36" s="29"/>
      <c r="H36" s="29"/>
      <c r="I36" s="29"/>
      <c r="J36" s="29"/>
      <c r="K36" s="29"/>
      <c r="L36" s="29"/>
      <c r="M36" s="29"/>
      <c r="N36" s="29"/>
      <c r="O36" s="29"/>
      <c r="P36" s="29"/>
      <c r="Q36" s="29"/>
      <c r="R36" s="29"/>
    </row>
    <row r="37">
      <c r="A37" s="23" t="s">
        <v>143</v>
      </c>
      <c r="B37" s="29"/>
      <c r="C37" s="29"/>
      <c r="D37" s="29"/>
      <c r="E37" s="29"/>
      <c r="F37" s="29"/>
      <c r="G37" s="29"/>
      <c r="H37" s="29"/>
      <c r="I37" s="29"/>
      <c r="J37" s="29"/>
      <c r="K37" s="29"/>
      <c r="L37" s="29"/>
      <c r="M37" s="29"/>
      <c r="N37" s="29"/>
      <c r="O37" s="29"/>
      <c r="P37" s="29"/>
      <c r="Q37" s="29"/>
      <c r="R37" s="29"/>
    </row>
    <row r="38">
      <c r="A38" s="28"/>
      <c r="B38" s="29"/>
      <c r="C38" s="29"/>
      <c r="D38" s="29"/>
      <c r="E38" s="29"/>
      <c r="F38" s="29"/>
      <c r="G38" s="29"/>
      <c r="H38" s="29"/>
      <c r="I38" s="29"/>
      <c r="J38" s="29"/>
      <c r="K38" s="29"/>
      <c r="L38" s="29"/>
      <c r="M38" s="29"/>
      <c r="N38" s="29"/>
      <c r="O38" s="29"/>
      <c r="P38" s="29"/>
      <c r="Q38" s="29"/>
      <c r="R38" s="29"/>
    </row>
    <row r="39">
      <c r="A39" s="28" t="s">
        <v>144</v>
      </c>
      <c r="B39" s="29"/>
      <c r="C39" s="29"/>
      <c r="D39" s="29"/>
      <c r="E39" s="29"/>
      <c r="F39" s="29"/>
      <c r="G39" s="29"/>
      <c r="H39" s="29"/>
      <c r="I39" s="29"/>
      <c r="J39" s="29"/>
      <c r="K39" s="29"/>
      <c r="L39" s="29"/>
      <c r="M39" s="29"/>
      <c r="N39" s="29"/>
      <c r="O39" s="29"/>
      <c r="P39" s="29"/>
      <c r="Q39" s="29"/>
      <c r="R39" s="29"/>
    </row>
    <row r="40">
      <c r="A40" s="23" t="s">
        <v>145</v>
      </c>
      <c r="B40" s="29"/>
      <c r="C40" s="29"/>
      <c r="D40" s="29"/>
      <c r="E40" s="29"/>
      <c r="F40" s="29"/>
      <c r="G40" s="29"/>
      <c r="H40" s="29"/>
      <c r="I40" s="29"/>
      <c r="J40" s="29"/>
      <c r="K40" s="29"/>
      <c r="L40" s="29"/>
      <c r="M40" s="29"/>
      <c r="N40" s="29"/>
      <c r="O40" s="29"/>
      <c r="P40" s="29"/>
      <c r="Q40" s="29"/>
      <c r="R40" s="29"/>
    </row>
    <row r="41">
      <c r="A41" s="23" t="s">
        <v>146</v>
      </c>
      <c r="B41" s="29"/>
      <c r="C41" s="29"/>
      <c r="D41" s="29"/>
      <c r="E41" s="29"/>
      <c r="F41" s="29"/>
      <c r="G41" s="29"/>
      <c r="H41" s="29"/>
      <c r="I41" s="29"/>
      <c r="J41" s="29"/>
      <c r="K41" s="29"/>
      <c r="L41" s="29"/>
      <c r="M41" s="29"/>
      <c r="N41" s="29"/>
      <c r="O41" s="29"/>
      <c r="P41" s="29"/>
      <c r="Q41" s="29"/>
      <c r="R41" s="29"/>
    </row>
    <row r="42">
      <c r="A42" s="23" t="s">
        <v>147</v>
      </c>
      <c r="B42" s="29"/>
      <c r="C42" s="29"/>
      <c r="D42" s="29"/>
      <c r="E42" s="29"/>
      <c r="F42" s="29"/>
      <c r="G42" s="29"/>
      <c r="H42" s="29"/>
      <c r="I42" s="29"/>
      <c r="J42" s="29"/>
      <c r="K42" s="29"/>
      <c r="L42" s="29"/>
      <c r="M42" s="29"/>
      <c r="N42" s="29"/>
      <c r="O42" s="29"/>
      <c r="P42" s="29"/>
      <c r="Q42" s="29"/>
      <c r="R42" s="29"/>
    </row>
    <row r="43">
      <c r="A43" s="23" t="s">
        <v>148</v>
      </c>
      <c r="B43" s="29"/>
      <c r="C43" s="29"/>
      <c r="D43" s="29"/>
      <c r="E43" s="29"/>
      <c r="F43" s="29"/>
      <c r="G43" s="29"/>
      <c r="H43" s="29"/>
      <c r="I43" s="29"/>
      <c r="J43" s="29"/>
      <c r="K43" s="29"/>
      <c r="L43" s="29"/>
      <c r="M43" s="29"/>
      <c r="N43" s="29"/>
      <c r="O43" s="29"/>
      <c r="P43" s="29"/>
      <c r="Q43" s="29"/>
      <c r="R43" s="29"/>
    </row>
    <row r="44">
      <c r="A44" s="28"/>
      <c r="B44" s="29"/>
      <c r="C44" s="29"/>
      <c r="D44" s="29"/>
      <c r="E44" s="29"/>
      <c r="F44" s="29"/>
      <c r="G44" s="29"/>
      <c r="H44" s="29"/>
      <c r="I44" s="29"/>
      <c r="J44" s="29"/>
      <c r="K44" s="29"/>
      <c r="L44" s="29"/>
      <c r="M44" s="29"/>
      <c r="N44" s="29"/>
      <c r="O44" s="29"/>
      <c r="P44" s="29"/>
      <c r="Q44" s="29"/>
      <c r="R44" s="29"/>
    </row>
    <row r="45">
      <c r="A45" s="28" t="s">
        <v>149</v>
      </c>
      <c r="B45" s="29"/>
      <c r="C45" s="29"/>
      <c r="D45" s="29"/>
      <c r="E45" s="29"/>
      <c r="F45" s="29"/>
      <c r="G45" s="29"/>
      <c r="H45" s="29"/>
      <c r="I45" s="29"/>
      <c r="J45" s="29"/>
      <c r="K45" s="29"/>
      <c r="L45" s="29"/>
      <c r="M45" s="29"/>
      <c r="N45" s="29"/>
      <c r="O45" s="29"/>
      <c r="P45" s="29"/>
      <c r="Q45" s="29"/>
      <c r="R45" s="29"/>
    </row>
    <row r="46">
      <c r="A46" s="23" t="s">
        <v>150</v>
      </c>
      <c r="B46" s="29"/>
      <c r="C46" s="29"/>
      <c r="D46" s="29"/>
      <c r="E46" s="29"/>
      <c r="F46" s="29"/>
      <c r="G46" s="29"/>
      <c r="H46" s="29"/>
      <c r="I46" s="29"/>
      <c r="J46" s="29"/>
      <c r="K46" s="29"/>
      <c r="L46" s="29"/>
      <c r="M46" s="29"/>
      <c r="N46" s="29"/>
      <c r="O46" s="29"/>
      <c r="P46" s="29"/>
      <c r="Q46" s="29"/>
      <c r="R46" s="29"/>
    </row>
    <row r="47">
      <c r="A47" s="29"/>
      <c r="B47" s="29"/>
      <c r="C47" s="29"/>
      <c r="D47" s="29"/>
      <c r="E47" s="29"/>
      <c r="F47" s="29"/>
      <c r="G47" s="29"/>
      <c r="H47" s="29"/>
      <c r="I47" s="29"/>
      <c r="J47" s="29"/>
      <c r="K47" s="29"/>
      <c r="L47" s="29"/>
      <c r="M47" s="29"/>
      <c r="N47" s="29"/>
      <c r="O47" s="29"/>
      <c r="P47" s="29"/>
      <c r="Q47" s="29"/>
      <c r="R47" s="29"/>
    </row>
    <row r="48">
      <c r="A48" s="29"/>
      <c r="B48" s="29"/>
      <c r="C48" s="29"/>
      <c r="D48" s="29"/>
      <c r="E48" s="29"/>
      <c r="F48" s="29"/>
      <c r="G48" s="29"/>
      <c r="H48" s="29"/>
      <c r="I48" s="29"/>
      <c r="J48" s="29"/>
      <c r="K48" s="29"/>
      <c r="L48" s="29"/>
      <c r="M48" s="29"/>
      <c r="N48" s="29"/>
      <c r="O48" s="29"/>
      <c r="P48" s="29"/>
      <c r="Q48" s="29"/>
      <c r="R48" s="29"/>
    </row>
    <row r="49">
      <c r="A49" s="29"/>
      <c r="B49" s="29"/>
      <c r="C49" s="29"/>
      <c r="D49" s="29"/>
      <c r="E49" s="29"/>
      <c r="F49" s="29"/>
      <c r="G49" s="29"/>
      <c r="H49" s="29"/>
      <c r="I49" s="29"/>
      <c r="J49" s="29"/>
      <c r="K49" s="29"/>
      <c r="L49" s="29"/>
      <c r="M49" s="29"/>
      <c r="N49" s="29"/>
      <c r="O49" s="29"/>
      <c r="P49" s="29"/>
      <c r="Q49" s="29"/>
      <c r="R49" s="29"/>
    </row>
    <row r="50">
      <c r="A50" s="29"/>
      <c r="B50" s="29"/>
      <c r="C50" s="29"/>
      <c r="D50" s="29"/>
      <c r="E50" s="29"/>
      <c r="F50" s="29"/>
      <c r="G50" s="29"/>
      <c r="H50" s="29"/>
      <c r="I50" s="29"/>
      <c r="J50" s="29"/>
      <c r="K50" s="29"/>
      <c r="L50" s="29"/>
      <c r="M50" s="29"/>
      <c r="N50" s="29"/>
      <c r="O50" s="29"/>
      <c r="P50" s="29"/>
      <c r="Q50" s="29"/>
      <c r="R50" s="29"/>
    </row>
  </sheetData>
  <drawing r:id="rId1"/>
</worksheet>
</file>